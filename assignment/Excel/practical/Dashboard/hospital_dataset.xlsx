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4.xml" ContentType="application/vnd.ms-excel.slicer+xml"/>
  <Override PartName="/xl/timelines/timeline4.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esktop\Dashboards\"/>
    </mc:Choice>
  </mc:AlternateContent>
  <xr:revisionPtr revIDLastSave="0" documentId="13_ncr:1_{BB9E38B6-B60C-443D-BBA9-28B404DDEBD2}" xr6:coauthVersionLast="47" xr6:coauthVersionMax="47" xr10:uidLastSave="{00000000-0000-0000-0000-000000000000}"/>
  <bookViews>
    <workbookView xWindow="-108" yWindow="-108" windowWidth="23256" windowHeight="12576" activeTab="2" xr2:uid="{00000000-000D-0000-FFFF-FFFF00000000}"/>
  </bookViews>
  <sheets>
    <sheet name="Hospital_Data_2025" sheetId="5" r:id="rId1"/>
    <sheet name="Table" sheetId="6" r:id="rId2"/>
    <sheet name="Home" sheetId="3" r:id="rId3"/>
    <sheet name="DR" sheetId="7" r:id="rId4"/>
    <sheet name="Profits" sheetId="8" r:id="rId5"/>
  </sheets>
  <definedNames>
    <definedName name="ExternalData_1" localSheetId="0" hidden="1">Hospital_Data_2025!$A$1:$T$1001</definedName>
    <definedName name="NativeTimeline_Admission_Date">#N/A</definedName>
    <definedName name="Slicer_Doctor_Name">#N/A</definedName>
    <definedName name="Slicer_Gender">#N/A</definedName>
  </definedNames>
  <calcPr calcId="191029"/>
  <pivotCaches>
    <pivotCache cacheId="1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6" i="6" l="1"/>
  <c r="C74" i="6"/>
  <c r="C73" i="6"/>
  <c r="C7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1381A-4F93-4124-982D-09C14FCB67A8}" keepAlive="1" name="Query - Hospital_Data_2025" description="Connection to the 'Hospital_Data_2025' query in the workbook." type="5" refreshedVersion="8" background="1" saveData="1">
    <dbPr connection="Provider=Microsoft.Mashup.OleDb.1;Data Source=$Workbook$;Location=Hospital_Data_2025;Extended Properties=&quot;&quot;" command="SELECT * FROM [Hospital_Data_2025]"/>
  </connection>
</connections>
</file>

<file path=xl/sharedStrings.xml><?xml version="1.0" encoding="utf-8"?>
<sst xmlns="http://schemas.openxmlformats.org/spreadsheetml/2006/main" count="11175" uniqueCount="2462">
  <si>
    <t>Patient_ID</t>
  </si>
  <si>
    <t>Patient_Name</t>
  </si>
  <si>
    <t>Age</t>
  </si>
  <si>
    <t>Gender</t>
  </si>
  <si>
    <t>Doctor_Name</t>
  </si>
  <si>
    <t>Disease</t>
  </si>
  <si>
    <t>Consultation_Fee</t>
  </si>
  <si>
    <t>City</t>
  </si>
  <si>
    <t>Blood_Group</t>
  </si>
  <si>
    <t>Insurance</t>
  </si>
  <si>
    <t>Total_Fees</t>
  </si>
  <si>
    <t>Neha Gupta</t>
  </si>
  <si>
    <t>Female</t>
  </si>
  <si>
    <t>Asthma</t>
  </si>
  <si>
    <t>Mumbai</t>
  </si>
  <si>
    <t>B+</t>
  </si>
  <si>
    <t>Cash</t>
  </si>
  <si>
    <t>Discharged</t>
  </si>
  <si>
    <t>Fever</t>
  </si>
  <si>
    <t>Vadodara</t>
  </si>
  <si>
    <t>O-</t>
  </si>
  <si>
    <t>UPI</t>
  </si>
  <si>
    <t>Admitted</t>
  </si>
  <si>
    <t>Male</t>
  </si>
  <si>
    <t>A-</t>
  </si>
  <si>
    <t>Rajkot</t>
  </si>
  <si>
    <t>Flu</t>
  </si>
  <si>
    <t>AB-</t>
  </si>
  <si>
    <t>Priya Mehta</t>
  </si>
  <si>
    <t>Diabetes</t>
  </si>
  <si>
    <t>Sneha Joshi</t>
  </si>
  <si>
    <t>Card</t>
  </si>
  <si>
    <t>Sneha Sharma</t>
  </si>
  <si>
    <t>A+</t>
  </si>
  <si>
    <t>Ahmedabad</t>
  </si>
  <si>
    <t>Surat</t>
  </si>
  <si>
    <t>O+</t>
  </si>
  <si>
    <t>Hypertension</t>
  </si>
  <si>
    <t>AB+</t>
  </si>
  <si>
    <t>Priya Singh</t>
  </si>
  <si>
    <t>B-</t>
  </si>
  <si>
    <t>Priya Verma</t>
  </si>
  <si>
    <t>Sneha Yadav</t>
  </si>
  <si>
    <t>Pooja Sharma</t>
  </si>
  <si>
    <t>Sneha Gupta</t>
  </si>
  <si>
    <t>Neha Mehta</t>
  </si>
  <si>
    <t>Sneha Kapoor</t>
  </si>
  <si>
    <t>Neha Yadav</t>
  </si>
  <si>
    <t>Neha Patel</t>
  </si>
  <si>
    <t>Sneha Verma</t>
  </si>
  <si>
    <t>Priya Joshi</t>
  </si>
  <si>
    <t>Sneha Shah</t>
  </si>
  <si>
    <t>Pooja Gupta</t>
  </si>
  <si>
    <t>Pooja Singh</t>
  </si>
  <si>
    <t>Pooja Verma</t>
  </si>
  <si>
    <t>Sneha Mehta</t>
  </si>
  <si>
    <t>Pooja Kapoor</t>
  </si>
  <si>
    <t>Priya Sharma</t>
  </si>
  <si>
    <t>Sneha Singh</t>
  </si>
  <si>
    <t>Neha Sharma</t>
  </si>
  <si>
    <t>Pooja Yadav</t>
  </si>
  <si>
    <t>Pooja Mehta</t>
  </si>
  <si>
    <t>Priya Yadav</t>
  </si>
  <si>
    <t>Priya Kapoor</t>
  </si>
  <si>
    <t>Priya Patel</t>
  </si>
  <si>
    <t>Neha Verma</t>
  </si>
  <si>
    <t>Neha Shah</t>
  </si>
  <si>
    <t>Sneha Patel</t>
  </si>
  <si>
    <t>Priya Shah</t>
  </si>
  <si>
    <t>Pooja Patel</t>
  </si>
  <si>
    <t>Priya Gupta</t>
  </si>
  <si>
    <t>Neha Joshi</t>
  </si>
  <si>
    <t>Department</t>
  </si>
  <si>
    <t>Medicine_Fee</t>
  </si>
  <si>
    <t>Test_Fee</t>
  </si>
  <si>
    <t>Room_Charges</t>
  </si>
  <si>
    <t>Admission_Date</t>
  </si>
  <si>
    <t>Discharge_Date</t>
  </si>
  <si>
    <t>Payment_Method</t>
  </si>
  <si>
    <t>Patient_Status</t>
  </si>
  <si>
    <t>Room_Number</t>
  </si>
  <si>
    <t>Contact_Number</t>
  </si>
  <si>
    <t>PID0001</t>
  </si>
  <si>
    <t>Vihaan Sharma</t>
  </si>
  <si>
    <t>Dr. Neha Joshi</t>
  </si>
  <si>
    <t>Neurology</t>
  </si>
  <si>
    <t>Migraine</t>
  </si>
  <si>
    <t>Under Treatment</t>
  </si>
  <si>
    <t>+91-6113971123</t>
  </si>
  <si>
    <t>PID0002</t>
  </si>
  <si>
    <t>Aisha Singh</t>
  </si>
  <si>
    <t>Orthopedics</t>
  </si>
  <si>
    <t>Pneumonia</t>
  </si>
  <si>
    <t>Pune</t>
  </si>
  <si>
    <t>+91-7445662585</t>
  </si>
  <si>
    <t>PID0003</t>
  </si>
  <si>
    <t>Vihaan Verma</t>
  </si>
  <si>
    <t>Dr. Aditi Verma</t>
  </si>
  <si>
    <t>Dermatology</t>
  </si>
  <si>
    <t>Kidney Stone</t>
  </si>
  <si>
    <t>+91-9802986287</t>
  </si>
  <si>
    <t>PID0004</t>
  </si>
  <si>
    <t>Ananya Kumar</t>
  </si>
  <si>
    <t>Dr. Rajesh Mehta</t>
  </si>
  <si>
    <t>ENT</t>
  </si>
  <si>
    <t>Dengue</t>
  </si>
  <si>
    <t>+91-7525876051</t>
  </si>
  <si>
    <t>PID0005</t>
  </si>
  <si>
    <t>Reyansh Desai</t>
  </si>
  <si>
    <t>Dr. Amit Patel</t>
  </si>
  <si>
    <t>Indore</t>
  </si>
  <si>
    <t>+91-9529615275</t>
  </si>
  <si>
    <t>PID0006</t>
  </si>
  <si>
    <t>Vivaan Reddy</t>
  </si>
  <si>
    <t>Dr. Priya Shah</t>
  </si>
  <si>
    <t>Typhoid</t>
  </si>
  <si>
    <t>Jaipur</t>
  </si>
  <si>
    <t>+91-8411057787</t>
  </si>
  <si>
    <t>PID0007</t>
  </si>
  <si>
    <t>Aisha Desai</t>
  </si>
  <si>
    <t>Dr. Vivek Sharma</t>
  </si>
  <si>
    <t>+91-8561557300</t>
  </si>
  <si>
    <t>PID0008</t>
  </si>
  <si>
    <t>Aditya Shah</t>
  </si>
  <si>
    <t>Dr. Karan Singh</t>
  </si>
  <si>
    <t>General Medicine</t>
  </si>
  <si>
    <t>+91-9101361778</t>
  </si>
  <si>
    <t>PID0009</t>
  </si>
  <si>
    <t>Ishaan Bhatt</t>
  </si>
  <si>
    <t>+91-9774081712</t>
  </si>
  <si>
    <t>PID0010</t>
  </si>
  <si>
    <t>Rohan Yadav</t>
  </si>
  <si>
    <t>+91-9243839315</t>
  </si>
  <si>
    <t>PID0011</t>
  </si>
  <si>
    <t>Reyansh Kapoor</t>
  </si>
  <si>
    <t>Dr. Sneha Desai</t>
  </si>
  <si>
    <t>Lucknow</t>
  </si>
  <si>
    <t>+91-9040153710</t>
  </si>
  <si>
    <t>PID0012</t>
  </si>
  <si>
    <t>Vivaan Yadav</t>
  </si>
  <si>
    <t>+91-8031403296</t>
  </si>
  <si>
    <t>PID0013</t>
  </si>
  <si>
    <t>+91-6822873088</t>
  </si>
  <si>
    <t>PID0014</t>
  </si>
  <si>
    <t>Reyansh Mishra</t>
  </si>
  <si>
    <t>COVID-19</t>
  </si>
  <si>
    <t>+91-9645120421</t>
  </si>
  <si>
    <t>PID0015</t>
  </si>
  <si>
    <t>Krishna Joshi</t>
  </si>
  <si>
    <t>+91-9364512142</t>
  </si>
  <si>
    <t>PID0016</t>
  </si>
  <si>
    <t>Aisha Trivedi</t>
  </si>
  <si>
    <t>+91-6344076115</t>
  </si>
  <si>
    <t>PID0017</t>
  </si>
  <si>
    <t>Sai Verma</t>
  </si>
  <si>
    <t>Heart Disease</t>
  </si>
  <si>
    <t>+91-8876451163</t>
  </si>
  <si>
    <t>PID0018</t>
  </si>
  <si>
    <t>Cardiology</t>
  </si>
  <si>
    <t>+91-6568896616</t>
  </si>
  <si>
    <t>PID0019</t>
  </si>
  <si>
    <t>Ananya Verma</t>
  </si>
  <si>
    <t>+91-9771526597</t>
  </si>
  <si>
    <t>PID0020</t>
  </si>
  <si>
    <t>Arjun Desai</t>
  </si>
  <si>
    <t>Arthritis</t>
  </si>
  <si>
    <t>+91-7819244083</t>
  </si>
  <si>
    <t>PID0021</t>
  </si>
  <si>
    <t>Ishaan Patel</t>
  </si>
  <si>
    <t>+91-9584558315</t>
  </si>
  <si>
    <t>PID0022</t>
  </si>
  <si>
    <t>+91-8404681399</t>
  </si>
  <si>
    <t>PID0023</t>
  </si>
  <si>
    <t>Sneha Soni</t>
  </si>
  <si>
    <t>+91-6166320906</t>
  </si>
  <si>
    <t>PID0024</t>
  </si>
  <si>
    <t>Pediatrics</t>
  </si>
  <si>
    <t>Delhi</t>
  </si>
  <si>
    <t>+91-8755143093</t>
  </si>
  <si>
    <t>PID0025</t>
  </si>
  <si>
    <t>Diya Shah</t>
  </si>
  <si>
    <t>+91-8196545325</t>
  </si>
  <si>
    <t>PID0026</t>
  </si>
  <si>
    <t>Vihaan Shah</t>
  </si>
  <si>
    <t>+91-8676432103</t>
  </si>
  <si>
    <t>PID0027</t>
  </si>
  <si>
    <t>Skin Allergy</t>
  </si>
  <si>
    <t>+91-9580822352</t>
  </si>
  <si>
    <t>PID0028</t>
  </si>
  <si>
    <t>Aarav Kapoor</t>
  </si>
  <si>
    <t>+91-8851230518</t>
  </si>
  <si>
    <t>PID0029</t>
  </si>
  <si>
    <t>Riya Reddy</t>
  </si>
  <si>
    <t>+91-6835092972</t>
  </si>
  <si>
    <t>PID0030</t>
  </si>
  <si>
    <t>Kavya Trivedi</t>
  </si>
  <si>
    <t>+91-6572687073</t>
  </si>
  <si>
    <t>PID0031</t>
  </si>
  <si>
    <t>Pooja Bhatt</t>
  </si>
  <si>
    <t>Fracture</t>
  </si>
  <si>
    <t>+91-8691864041</t>
  </si>
  <si>
    <t>PID0032</t>
  </si>
  <si>
    <t>Krishna Desai</t>
  </si>
  <si>
    <t>+91-6275860817</t>
  </si>
  <si>
    <t>PID0033</t>
  </si>
  <si>
    <t>Sneha Chauhan</t>
  </si>
  <si>
    <t>+91-9236151037</t>
  </si>
  <si>
    <t>PID0034</t>
  </si>
  <si>
    <t>Kavya Chauhan</t>
  </si>
  <si>
    <t>+91-8294043548</t>
  </si>
  <si>
    <t>PID0035</t>
  </si>
  <si>
    <t>Aarav Shah</t>
  </si>
  <si>
    <t>+91-9778024983</t>
  </si>
  <si>
    <t>PID0036</t>
  </si>
  <si>
    <t>Kavya Desai</t>
  </si>
  <si>
    <t>Back Pain</t>
  </si>
  <si>
    <t>+91-9604460472</t>
  </si>
  <si>
    <t>PID0037</t>
  </si>
  <si>
    <t>Aarav Soni</t>
  </si>
  <si>
    <t>+91-8485432021</t>
  </si>
  <si>
    <t>PID0038</t>
  </si>
  <si>
    <t>+91-7839869544</t>
  </si>
  <si>
    <t>PID0039</t>
  </si>
  <si>
    <t>+91-9949727766</t>
  </si>
  <si>
    <t>PID0040</t>
  </si>
  <si>
    <t>+91-7395925222</t>
  </si>
  <si>
    <t>PID0041</t>
  </si>
  <si>
    <t>Sai Trivedi</t>
  </si>
  <si>
    <t>+91-9256292393</t>
  </si>
  <si>
    <t>PID0042</t>
  </si>
  <si>
    <t>Krishna Trivedi</t>
  </si>
  <si>
    <t>+91-8363900493</t>
  </si>
  <si>
    <t>PID0043</t>
  </si>
  <si>
    <t>Priya Nair</t>
  </si>
  <si>
    <t>+91-7187556862</t>
  </si>
  <si>
    <t>PID0044</t>
  </si>
  <si>
    <t>Meera Bhatt</t>
  </si>
  <si>
    <t>+91-7254717325</t>
  </si>
  <si>
    <t>PID0045</t>
  </si>
  <si>
    <t>Arjun Trivedi</t>
  </si>
  <si>
    <t>+91-6318180503</t>
  </si>
  <si>
    <t>PID0046</t>
  </si>
  <si>
    <t>Meera Patel</t>
  </si>
  <si>
    <t>+91-7277121963</t>
  </si>
  <si>
    <t>PID0047</t>
  </si>
  <si>
    <t>Meera Chauhan</t>
  </si>
  <si>
    <t>+91-8960826470</t>
  </si>
  <si>
    <t>PID0048</t>
  </si>
  <si>
    <t>Riya Trivedi</t>
  </si>
  <si>
    <t>+91-8781569954</t>
  </si>
  <si>
    <t>PID0049</t>
  </si>
  <si>
    <t>+91-8568547910</t>
  </si>
  <si>
    <t>PID0050</t>
  </si>
  <si>
    <t>Vivaan Chauhan</t>
  </si>
  <si>
    <t>+91-8513971584</t>
  </si>
  <si>
    <t>PID0051</t>
  </si>
  <si>
    <t>Sneha Trivedi</t>
  </si>
  <si>
    <t>+91-7953462417</t>
  </si>
  <si>
    <t>PID0052</t>
  </si>
  <si>
    <t>Aditya Reddy</t>
  </si>
  <si>
    <t>+91-8141011556</t>
  </si>
  <si>
    <t>PID0053</t>
  </si>
  <si>
    <t>+91-6400330495</t>
  </si>
  <si>
    <t>PID0054</t>
  </si>
  <si>
    <t>Krishna Gupta</t>
  </si>
  <si>
    <t>+91-9959393557</t>
  </si>
  <si>
    <t>PID0055</t>
  </si>
  <si>
    <t>Riya Bhatt</t>
  </si>
  <si>
    <t>+91-8080230418</t>
  </si>
  <si>
    <t>PID0056</t>
  </si>
  <si>
    <t>Ananya Reddy</t>
  </si>
  <si>
    <t>+91-7637375316</t>
  </si>
  <si>
    <t>PID0057</t>
  </si>
  <si>
    <t>Kavya Mehta</t>
  </si>
  <si>
    <t>+91-9356625550</t>
  </si>
  <si>
    <t>PID0058</t>
  </si>
  <si>
    <t>Ishaan Reddy</t>
  </si>
  <si>
    <t>+91-6388176285</t>
  </si>
  <si>
    <t>PID0059</t>
  </si>
  <si>
    <t>+91-7769748771</t>
  </si>
  <si>
    <t>PID0060</t>
  </si>
  <si>
    <t>Meera Joshi</t>
  </si>
  <si>
    <t>+91-9860782736</t>
  </si>
  <si>
    <t>PID0061</t>
  </si>
  <si>
    <t>+91-7018790736</t>
  </si>
  <si>
    <t>PID0062</t>
  </si>
  <si>
    <t>Kavya Kumar</t>
  </si>
  <si>
    <t>+91-9444271529</t>
  </si>
  <si>
    <t>PID0063</t>
  </si>
  <si>
    <t>Ananya Yadav</t>
  </si>
  <si>
    <t>+91-7403247962</t>
  </si>
  <si>
    <t>PID0064</t>
  </si>
  <si>
    <t>+91-6969007714</t>
  </si>
  <si>
    <t>PID0065</t>
  </si>
  <si>
    <t>Kavya Mishra</t>
  </si>
  <si>
    <t>+91-7004257438</t>
  </si>
  <si>
    <t>PID0066</t>
  </si>
  <si>
    <t>+91-7008458444</t>
  </si>
  <si>
    <t>PID0067</t>
  </si>
  <si>
    <t>Aisha Mehta</t>
  </si>
  <si>
    <t>+91-7909954149</t>
  </si>
  <si>
    <t>PID0068</t>
  </si>
  <si>
    <t>Krishna Nair</t>
  </si>
  <si>
    <t>+91-9380045208</t>
  </si>
  <si>
    <t>PID0069</t>
  </si>
  <si>
    <t>Meera Singh</t>
  </si>
  <si>
    <t>+91-8839220941</t>
  </si>
  <si>
    <t>PID0070</t>
  </si>
  <si>
    <t>Aarav Mehta</t>
  </si>
  <si>
    <t>+91-9341557731</t>
  </si>
  <si>
    <t>PID0071</t>
  </si>
  <si>
    <t>Ananya Bhatt</t>
  </si>
  <si>
    <t>+91-6463692519</t>
  </si>
  <si>
    <t>PID0072</t>
  </si>
  <si>
    <t>Neha Pandya</t>
  </si>
  <si>
    <t>+91-8600288277</t>
  </si>
  <si>
    <t>PID0073</t>
  </si>
  <si>
    <t>+91-7094743340</t>
  </si>
  <si>
    <t>PID0074</t>
  </si>
  <si>
    <t>Ananya Mehta</t>
  </si>
  <si>
    <t>+91-7764409657</t>
  </si>
  <si>
    <t>PID0075</t>
  </si>
  <si>
    <t>Ananya Chauhan</t>
  </si>
  <si>
    <t>+91-7196441373</t>
  </si>
  <si>
    <t>PID0076</t>
  </si>
  <si>
    <t>Meera Yadav</t>
  </si>
  <si>
    <t>+91-7721355673</t>
  </si>
  <si>
    <t>PID0077</t>
  </si>
  <si>
    <t>Aditya Mehta</t>
  </si>
  <si>
    <t>+91-6676070354</t>
  </si>
  <si>
    <t>PID0078</t>
  </si>
  <si>
    <t>Riya Patel</t>
  </si>
  <si>
    <t>+91-8914076272</t>
  </si>
  <si>
    <t>PID0079</t>
  </si>
  <si>
    <t>Meera Trivedi</t>
  </si>
  <si>
    <t>+91-8136253713</t>
  </si>
  <si>
    <t>PID0080</t>
  </si>
  <si>
    <t>+91-8462732890</t>
  </si>
  <si>
    <t>PID0081</t>
  </si>
  <si>
    <t>+91-8529182928</t>
  </si>
  <si>
    <t>PID0082</t>
  </si>
  <si>
    <t>Kavya Bhatt</t>
  </si>
  <si>
    <t>+91-9517357447</t>
  </si>
  <si>
    <t>PID0083</t>
  </si>
  <si>
    <t>Arjun Yadav</t>
  </si>
  <si>
    <t>+91-8761628889</t>
  </si>
  <si>
    <t>PID0084</t>
  </si>
  <si>
    <t>+91-7940955281</t>
  </si>
  <si>
    <t>PID0085</t>
  </si>
  <si>
    <t>Vivaan Patel</t>
  </si>
  <si>
    <t>+91-6265745534</t>
  </si>
  <si>
    <t>PID0086</t>
  </si>
  <si>
    <t>+91-9326300928</t>
  </si>
  <si>
    <t>PID0087</t>
  </si>
  <si>
    <t>Priya Soni</t>
  </si>
  <si>
    <t>+91-8817733555</t>
  </si>
  <si>
    <t>PID0088</t>
  </si>
  <si>
    <t>+91-7326569692</t>
  </si>
  <si>
    <t>PID0089</t>
  </si>
  <si>
    <t>Sai Singh</t>
  </si>
  <si>
    <t>+91-8565153945</t>
  </si>
  <si>
    <t>PID0090</t>
  </si>
  <si>
    <t>+91-7027220866</t>
  </si>
  <si>
    <t>PID0091</t>
  </si>
  <si>
    <t>Rohan Trivedi</t>
  </si>
  <si>
    <t>+91-8064121137</t>
  </si>
  <si>
    <t>PID0092</t>
  </si>
  <si>
    <t>Ananya Mishra</t>
  </si>
  <si>
    <t>+91-7781968664</t>
  </si>
  <si>
    <t>PID0093</t>
  </si>
  <si>
    <t>Vivaan Shah</t>
  </si>
  <si>
    <t>+91-8029178475</t>
  </si>
  <si>
    <t>PID0094</t>
  </si>
  <si>
    <t>+91-6523334661</t>
  </si>
  <si>
    <t>PID0095</t>
  </si>
  <si>
    <t>+91-7515333350</t>
  </si>
  <si>
    <t>PID0096</t>
  </si>
  <si>
    <t>Krishna Kumar</t>
  </si>
  <si>
    <t>+91-7661642599</t>
  </si>
  <si>
    <t>PID0097</t>
  </si>
  <si>
    <t>Ananya Desai</t>
  </si>
  <si>
    <t>+91-9566470640</t>
  </si>
  <si>
    <t>PID0098</t>
  </si>
  <si>
    <t>Pooja Trivedi</t>
  </si>
  <si>
    <t>+91-7087974350</t>
  </si>
  <si>
    <t>PID0099</t>
  </si>
  <si>
    <t>Vivaan Singh</t>
  </si>
  <si>
    <t>+91-8136846691</t>
  </si>
  <si>
    <t>PID0100</t>
  </si>
  <si>
    <t>+91-8588240189</t>
  </si>
  <si>
    <t>PID0101</t>
  </si>
  <si>
    <t>+91-9645006924</t>
  </si>
  <si>
    <t>PID0102</t>
  </si>
  <si>
    <t>Riya Pandya</t>
  </si>
  <si>
    <t>+91-6330220406</t>
  </si>
  <si>
    <t>PID0103</t>
  </si>
  <si>
    <t>Meera Mehta</t>
  </si>
  <si>
    <t>+91-7117936038</t>
  </si>
  <si>
    <t>PID0104</t>
  </si>
  <si>
    <t>+91-9047453184</t>
  </si>
  <si>
    <t>PID0105</t>
  </si>
  <si>
    <t>Aditya Mishra</t>
  </si>
  <si>
    <t>+91-8379503963</t>
  </si>
  <si>
    <t>PID0106</t>
  </si>
  <si>
    <t>Meera Nair</t>
  </si>
  <si>
    <t>+91-8758823240</t>
  </si>
  <si>
    <t>PID0107</t>
  </si>
  <si>
    <t>Aditya Pandya</t>
  </si>
  <si>
    <t>+91-6968387506</t>
  </si>
  <si>
    <t>PID0108</t>
  </si>
  <si>
    <t>+91-6662259333</t>
  </si>
  <si>
    <t>PID0109</t>
  </si>
  <si>
    <t>Sai Soni</t>
  </si>
  <si>
    <t>+91-8343237444</t>
  </si>
  <si>
    <t>PID0110</t>
  </si>
  <si>
    <t>Rohan Kapoor</t>
  </si>
  <si>
    <t>+91-6617052325</t>
  </si>
  <si>
    <t>PID0111</t>
  </si>
  <si>
    <t>Priya Reddy</t>
  </si>
  <si>
    <t>+91-7246451043</t>
  </si>
  <si>
    <t>PID0112</t>
  </si>
  <si>
    <t>Kavya Soni</t>
  </si>
  <si>
    <t>+91-6386757895</t>
  </si>
  <si>
    <t>PID0113</t>
  </si>
  <si>
    <t>+91-6575246182</t>
  </si>
  <si>
    <t>PID0114</t>
  </si>
  <si>
    <t>Ishaan Nair</t>
  </si>
  <si>
    <t>+91-8624410325</t>
  </si>
  <si>
    <t>PID0115</t>
  </si>
  <si>
    <t>Vihaan Mehta</t>
  </si>
  <si>
    <t>+91-6588566728</t>
  </si>
  <si>
    <t>PID0116</t>
  </si>
  <si>
    <t>Priya Trivedi</t>
  </si>
  <si>
    <t>+91-7287590685</t>
  </si>
  <si>
    <t>PID0117</t>
  </si>
  <si>
    <t>+91-8506213395</t>
  </si>
  <si>
    <t>PID0118</t>
  </si>
  <si>
    <t>+91-9328480679</t>
  </si>
  <si>
    <t>PID0119</t>
  </si>
  <si>
    <t>+91-9726547274</t>
  </si>
  <si>
    <t>PID0120</t>
  </si>
  <si>
    <t>Ishaan Soni</t>
  </si>
  <si>
    <t>+91-9416239981</t>
  </si>
  <si>
    <t>PID0121</t>
  </si>
  <si>
    <t>Ishaan Kapoor</t>
  </si>
  <si>
    <t>+91-9556025499</t>
  </si>
  <si>
    <t>PID0122</t>
  </si>
  <si>
    <t>+91-8028959334</t>
  </si>
  <si>
    <t>PID0123</t>
  </si>
  <si>
    <t>+91-9105766766</t>
  </si>
  <si>
    <t>PID0124</t>
  </si>
  <si>
    <t>Vivaan Joshi</t>
  </si>
  <si>
    <t>+91-7951414407</t>
  </si>
  <si>
    <t>PID0125</t>
  </si>
  <si>
    <t>Aisha Bhatt</t>
  </si>
  <si>
    <t>+91-8896530837</t>
  </si>
  <si>
    <t>PID0126</t>
  </si>
  <si>
    <t>Reyansh Joshi</t>
  </si>
  <si>
    <t>+91-7011556076</t>
  </si>
  <si>
    <t>PID0127</t>
  </si>
  <si>
    <t>Pooja Desai</t>
  </si>
  <si>
    <t>+91-8743244243</t>
  </si>
  <si>
    <t>PID0128</t>
  </si>
  <si>
    <t>Rohan Nair</t>
  </si>
  <si>
    <t>+91-9241581669</t>
  </si>
  <si>
    <t>PID0129</t>
  </si>
  <si>
    <t>Riya Verma</t>
  </si>
  <si>
    <t>+91-6499247083</t>
  </si>
  <si>
    <t>PID0130</t>
  </si>
  <si>
    <t>Reyansh Kumar</t>
  </si>
  <si>
    <t>+91-7700586760</t>
  </si>
  <si>
    <t>PID0131</t>
  </si>
  <si>
    <t>Ishaan Sharma</t>
  </si>
  <si>
    <t>+91-8755328890</t>
  </si>
  <si>
    <t>PID0132</t>
  </si>
  <si>
    <t>Sneha Nair</t>
  </si>
  <si>
    <t>+91-9585531525</t>
  </si>
  <si>
    <t>PID0133</t>
  </si>
  <si>
    <t>Aarav Sharma</t>
  </si>
  <si>
    <t>+91-9795705770</t>
  </si>
  <si>
    <t>PID0134</t>
  </si>
  <si>
    <t>Aarav Yadav</t>
  </si>
  <si>
    <t>+91-8164216179</t>
  </si>
  <si>
    <t>PID0135</t>
  </si>
  <si>
    <t>+91-7834812535</t>
  </si>
  <si>
    <t>PID0136</t>
  </si>
  <si>
    <t>+91-9039019230</t>
  </si>
  <si>
    <t>PID0137</t>
  </si>
  <si>
    <t>Arjun Pandya</t>
  </si>
  <si>
    <t>+91-9112067620</t>
  </si>
  <si>
    <t>PID0138</t>
  </si>
  <si>
    <t>Reyansh Patel</t>
  </si>
  <si>
    <t>+91-8056949493</t>
  </si>
  <si>
    <t>PID0139</t>
  </si>
  <si>
    <t>Krishna Soni</t>
  </si>
  <si>
    <t>+91-9448071114</t>
  </si>
  <si>
    <t>PID0140</t>
  </si>
  <si>
    <t>Neha Reddy</t>
  </si>
  <si>
    <t>+91-6987922467</t>
  </si>
  <si>
    <t>PID0141</t>
  </si>
  <si>
    <t>+91-9603771733</t>
  </si>
  <si>
    <t>PID0142</t>
  </si>
  <si>
    <t>Aditya Patel</t>
  </si>
  <si>
    <t>+91-6067567428</t>
  </si>
  <si>
    <t>PID0143</t>
  </si>
  <si>
    <t>Aarav Mishra</t>
  </si>
  <si>
    <t>+91-7034953269</t>
  </si>
  <si>
    <t>PID0144</t>
  </si>
  <si>
    <t>Reyansh Soni</t>
  </si>
  <si>
    <t>+91-8791275402</t>
  </si>
  <si>
    <t>PID0145</t>
  </si>
  <si>
    <t>Vivaan Verma</t>
  </si>
  <si>
    <t>+91-6986839603</t>
  </si>
  <si>
    <t>PID0146</t>
  </si>
  <si>
    <t>+91-7710668371</t>
  </si>
  <si>
    <t>PID0147</t>
  </si>
  <si>
    <t>Aditya Kapoor</t>
  </si>
  <si>
    <t>+91-6326495888</t>
  </si>
  <si>
    <t>PID0148</t>
  </si>
  <si>
    <t>+91-8656935034</t>
  </si>
  <si>
    <t>PID0149</t>
  </si>
  <si>
    <t>+91-9269958296</t>
  </si>
  <si>
    <t>PID0150</t>
  </si>
  <si>
    <t>Ishaan Gupta</t>
  </si>
  <si>
    <t>+91-7253474844</t>
  </si>
  <si>
    <t>PID0151</t>
  </si>
  <si>
    <t>+91-7287426116</t>
  </si>
  <si>
    <t>PID0152</t>
  </si>
  <si>
    <t>+91-7437681124</t>
  </si>
  <si>
    <t>PID0153</t>
  </si>
  <si>
    <t>+91-9375271059</t>
  </si>
  <si>
    <t>PID0154</t>
  </si>
  <si>
    <t>Kavya Nair</t>
  </si>
  <si>
    <t>+91-7300656317</t>
  </si>
  <si>
    <t>PID0155</t>
  </si>
  <si>
    <t>+91-9846149700</t>
  </si>
  <si>
    <t>PID0156</t>
  </si>
  <si>
    <t>Aisha Soni</t>
  </si>
  <si>
    <t>+91-6423511939</t>
  </si>
  <si>
    <t>PID0157</t>
  </si>
  <si>
    <t>Ishaan Yadav</t>
  </si>
  <si>
    <t>+91-7268871731</t>
  </si>
  <si>
    <t>PID0158</t>
  </si>
  <si>
    <t>+91-7943245911</t>
  </si>
  <si>
    <t>PID0159</t>
  </si>
  <si>
    <t>+91-7831242551</t>
  </si>
  <si>
    <t>PID0160</t>
  </si>
  <si>
    <t>+91-6883837629</t>
  </si>
  <si>
    <t>PID0161</t>
  </si>
  <si>
    <t>Ishaan Verma</t>
  </si>
  <si>
    <t>+91-8521166052</t>
  </si>
  <si>
    <t>PID0162</t>
  </si>
  <si>
    <t>Vihaan Nair</t>
  </si>
  <si>
    <t>+91-7796323275</t>
  </si>
  <si>
    <t>PID0163</t>
  </si>
  <si>
    <t>Riya Mehta</t>
  </si>
  <si>
    <t>+91-9616298963</t>
  </si>
  <si>
    <t>PID0164</t>
  </si>
  <si>
    <t>Pooja Soni</t>
  </si>
  <si>
    <t>+91-9607307823</t>
  </si>
  <si>
    <t>PID0165</t>
  </si>
  <si>
    <t>+91-6486237535</t>
  </si>
  <si>
    <t>PID0166</t>
  </si>
  <si>
    <t>Meera Gupta</t>
  </si>
  <si>
    <t>+91-9507822591</t>
  </si>
  <si>
    <t>PID0167</t>
  </si>
  <si>
    <t>+91-6723175276</t>
  </si>
  <si>
    <t>PID0168</t>
  </si>
  <si>
    <t>+91-9623043944</t>
  </si>
  <si>
    <t>PID0169</t>
  </si>
  <si>
    <t>+91-7405696743</t>
  </si>
  <si>
    <t>PID0170</t>
  </si>
  <si>
    <t>Meera Sharma</t>
  </si>
  <si>
    <t>+91-8482206102</t>
  </si>
  <si>
    <t>PID0171</t>
  </si>
  <si>
    <t>Arjun Kumar</t>
  </si>
  <si>
    <t>+91-9788795778</t>
  </si>
  <si>
    <t>PID0172</t>
  </si>
  <si>
    <t>Rohan Joshi</t>
  </si>
  <si>
    <t>+91-6391697534</t>
  </si>
  <si>
    <t>PID0173</t>
  </si>
  <si>
    <t>+91-8051706927</t>
  </si>
  <si>
    <t>PID0174</t>
  </si>
  <si>
    <t>Aditya Yadav</t>
  </si>
  <si>
    <t>+91-6704875220</t>
  </si>
  <si>
    <t>PID0175</t>
  </si>
  <si>
    <t>Pooja Nair</t>
  </si>
  <si>
    <t>+91-6600566083</t>
  </si>
  <si>
    <t>PID0176</t>
  </si>
  <si>
    <t>+91-7657365938</t>
  </si>
  <si>
    <t>PID0177</t>
  </si>
  <si>
    <t>Vihaan Yadav</t>
  </si>
  <si>
    <t>+91-8522707023</t>
  </si>
  <si>
    <t>PID0178</t>
  </si>
  <si>
    <t>Aditya Sharma</t>
  </si>
  <si>
    <t>+91-8304528350</t>
  </si>
  <si>
    <t>PID0179</t>
  </si>
  <si>
    <t>+91-7878988236</t>
  </si>
  <si>
    <t>PID0180</t>
  </si>
  <si>
    <t>Krishna Patel</t>
  </si>
  <si>
    <t>+91-6703655804</t>
  </si>
  <si>
    <t>PID0181</t>
  </si>
  <si>
    <t>Neha Nair</t>
  </si>
  <si>
    <t>+91-8476700066</t>
  </si>
  <si>
    <t>PID0182</t>
  </si>
  <si>
    <t>Aditya Trivedi</t>
  </si>
  <si>
    <t>+91-9706249669</t>
  </si>
  <si>
    <t>PID0183</t>
  </si>
  <si>
    <t>+91-7374110948</t>
  </si>
  <si>
    <t>PID0184</t>
  </si>
  <si>
    <t>+91-6371022983</t>
  </si>
  <si>
    <t>PID0185</t>
  </si>
  <si>
    <t>Aisha Pandya</t>
  </si>
  <si>
    <t>+91-9266246260</t>
  </si>
  <si>
    <t>PID0186</t>
  </si>
  <si>
    <t>Krishna Mehta</t>
  </si>
  <si>
    <t>+91-7320748157</t>
  </si>
  <si>
    <t>PID0187</t>
  </si>
  <si>
    <t>Vihaan Singh</t>
  </si>
  <si>
    <t>+91-6364653118</t>
  </si>
  <si>
    <t>PID0188</t>
  </si>
  <si>
    <t>+91-9572982562</t>
  </si>
  <si>
    <t>PID0189</t>
  </si>
  <si>
    <t>+91-7745958114</t>
  </si>
  <si>
    <t>PID0190</t>
  </si>
  <si>
    <t>Vihaan Mishra</t>
  </si>
  <si>
    <t>+91-9054397788</t>
  </si>
  <si>
    <t>PID0191</t>
  </si>
  <si>
    <t>+91-6051354601</t>
  </si>
  <si>
    <t>PID0192</t>
  </si>
  <si>
    <t>+91-9887280261</t>
  </si>
  <si>
    <t>PID0193</t>
  </si>
  <si>
    <t>+91-6922198636</t>
  </si>
  <si>
    <t>PID0194</t>
  </si>
  <si>
    <t>Sai Desai</t>
  </si>
  <si>
    <t>+91-6856664739</t>
  </si>
  <si>
    <t>PID0195</t>
  </si>
  <si>
    <t>Diya Yadav</t>
  </si>
  <si>
    <t>+91-7369568735</t>
  </si>
  <si>
    <t>PID0196</t>
  </si>
  <si>
    <t>Riya Yadav</t>
  </si>
  <si>
    <t>+91-9505918051</t>
  </si>
  <si>
    <t>PID0197</t>
  </si>
  <si>
    <t>+91-6610324690</t>
  </si>
  <si>
    <t>PID0198</t>
  </si>
  <si>
    <t>+91-9463656690</t>
  </si>
  <si>
    <t>PID0199</t>
  </si>
  <si>
    <t>Arjun Reddy</t>
  </si>
  <si>
    <t>+91-7445518797</t>
  </si>
  <si>
    <t>PID0200</t>
  </si>
  <si>
    <t>Rohan Reddy</t>
  </si>
  <si>
    <t>+91-9152484405</t>
  </si>
  <si>
    <t>PID0201</t>
  </si>
  <si>
    <t>Rohan Mehta</t>
  </si>
  <si>
    <t>+91-6334176969</t>
  </si>
  <si>
    <t>PID0202</t>
  </si>
  <si>
    <t>+91-6206791755</t>
  </si>
  <si>
    <t>PID0203</t>
  </si>
  <si>
    <t>Kavya Pandya</t>
  </si>
  <si>
    <t>+91-9632522232</t>
  </si>
  <si>
    <t>PID0204</t>
  </si>
  <si>
    <t>Vivaan Kapoor</t>
  </si>
  <si>
    <t>+91-7852519609</t>
  </si>
  <si>
    <t>PID0205</t>
  </si>
  <si>
    <t>+91-6411955771</t>
  </si>
  <si>
    <t>PID0206</t>
  </si>
  <si>
    <t>+91-6733718685</t>
  </si>
  <si>
    <t>PID0207</t>
  </si>
  <si>
    <t>Rohan Verma</t>
  </si>
  <si>
    <t>+91-6801367625</t>
  </si>
  <si>
    <t>PID0208</t>
  </si>
  <si>
    <t>+91-9248957571</t>
  </si>
  <si>
    <t>PID0209</t>
  </si>
  <si>
    <t>+91-9867425036</t>
  </si>
  <si>
    <t>PID0210</t>
  </si>
  <si>
    <t>Diya Kumar</t>
  </si>
  <si>
    <t>+91-8693916084</t>
  </si>
  <si>
    <t>PID0211</t>
  </si>
  <si>
    <t>Arjun Soni</t>
  </si>
  <si>
    <t>+91-6642708893</t>
  </si>
  <si>
    <t>PID0212</t>
  </si>
  <si>
    <t>+91-7182894728</t>
  </si>
  <si>
    <t>PID0213</t>
  </si>
  <si>
    <t>+91-9619998445</t>
  </si>
  <si>
    <t>PID0214</t>
  </si>
  <si>
    <t>+91-8080741273</t>
  </si>
  <si>
    <t>PID0215</t>
  </si>
  <si>
    <t>Diya Nair</t>
  </si>
  <si>
    <t>+91-6142039044</t>
  </si>
  <si>
    <t>PID0216</t>
  </si>
  <si>
    <t>+91-6762716154</t>
  </si>
  <si>
    <t>PID0217</t>
  </si>
  <si>
    <t>Neha Kumar</t>
  </si>
  <si>
    <t>+91-8910678913</t>
  </si>
  <si>
    <t>PID0218</t>
  </si>
  <si>
    <t>+91-8760548616</t>
  </si>
  <si>
    <t>PID0219</t>
  </si>
  <si>
    <t>Ishaan Chauhan</t>
  </si>
  <si>
    <t>+91-8550233647</t>
  </si>
  <si>
    <t>PID0220</t>
  </si>
  <si>
    <t>Riya Kapoor</t>
  </si>
  <si>
    <t>+91-9682141408</t>
  </si>
  <si>
    <t>PID0221</t>
  </si>
  <si>
    <t>Riya Shah</t>
  </si>
  <si>
    <t>+91-8741535989</t>
  </si>
  <si>
    <t>PID0222</t>
  </si>
  <si>
    <t>+91-6959186138</t>
  </si>
  <si>
    <t>PID0223</t>
  </si>
  <si>
    <t>Rohan Chauhan</t>
  </si>
  <si>
    <t>+91-9725874491</t>
  </si>
  <si>
    <t>PID0224</t>
  </si>
  <si>
    <t>+91-7428632583</t>
  </si>
  <si>
    <t>PID0225</t>
  </si>
  <si>
    <t>Sai Reddy</t>
  </si>
  <si>
    <t>+91-7862776335</t>
  </si>
  <si>
    <t>PID0226</t>
  </si>
  <si>
    <t>+91-7068687175</t>
  </si>
  <si>
    <t>PID0227</t>
  </si>
  <si>
    <t>+91-6574621243</t>
  </si>
  <si>
    <t>PID0228</t>
  </si>
  <si>
    <t>+91-9402160254</t>
  </si>
  <si>
    <t>PID0229</t>
  </si>
  <si>
    <t>+91-6657675888</t>
  </si>
  <si>
    <t>PID0230</t>
  </si>
  <si>
    <t>Reyansh Sharma</t>
  </si>
  <si>
    <t>+91-8615642860</t>
  </si>
  <si>
    <t>PID0231</t>
  </si>
  <si>
    <t>+91-6382264279</t>
  </si>
  <si>
    <t>PID0232</t>
  </si>
  <si>
    <t>Vihaan Kumar</t>
  </si>
  <si>
    <t>+91-6169412921</t>
  </si>
  <si>
    <t>PID0233</t>
  </si>
  <si>
    <t>+91-9773023694</t>
  </si>
  <si>
    <t>PID0234</t>
  </si>
  <si>
    <t>Aditya Nair</t>
  </si>
  <si>
    <t>+91-8990026838</t>
  </si>
  <si>
    <t>PID0235</t>
  </si>
  <si>
    <t>+91-6197449658</t>
  </si>
  <si>
    <t>PID0236</t>
  </si>
  <si>
    <t>Aditya Desai</t>
  </si>
  <si>
    <t>+91-8850615512</t>
  </si>
  <si>
    <t>PID0237</t>
  </si>
  <si>
    <t>+91-8177244907</t>
  </si>
  <si>
    <t>PID0238</t>
  </si>
  <si>
    <t>Krishna Mishra</t>
  </si>
  <si>
    <t>+91-9200776977</t>
  </si>
  <si>
    <t>PID0239</t>
  </si>
  <si>
    <t>Aarav Gupta</t>
  </si>
  <si>
    <t>+91-7951890759</t>
  </si>
  <si>
    <t>PID0240</t>
  </si>
  <si>
    <t>Priya Mishra</t>
  </si>
  <si>
    <t>+91-7605846862</t>
  </si>
  <si>
    <t>PID0241</t>
  </si>
  <si>
    <t>Vihaan Patel</t>
  </si>
  <si>
    <t>+91-6462850341</t>
  </si>
  <si>
    <t>PID0242</t>
  </si>
  <si>
    <t>+91-9956361996</t>
  </si>
  <si>
    <t>PID0243</t>
  </si>
  <si>
    <t>Sai Kumar</t>
  </si>
  <si>
    <t>+91-9456576082</t>
  </si>
  <si>
    <t>PID0244</t>
  </si>
  <si>
    <t>Arjun Mehta</t>
  </si>
  <si>
    <t>+91-8982047218</t>
  </si>
  <si>
    <t>PID0245</t>
  </si>
  <si>
    <t>+91-9222020108</t>
  </si>
  <si>
    <t>PID0246</t>
  </si>
  <si>
    <t>Sai Kapoor</t>
  </si>
  <si>
    <t>+91-9368573654</t>
  </si>
  <si>
    <t>PID0247</t>
  </si>
  <si>
    <t>Rohan Patel</t>
  </si>
  <si>
    <t>+91-9047474523</t>
  </si>
  <si>
    <t>PID0248</t>
  </si>
  <si>
    <t>+91-8390572890</t>
  </si>
  <si>
    <t>PID0249</t>
  </si>
  <si>
    <t>Ishaan Mehta</t>
  </si>
  <si>
    <t>+91-9039469163</t>
  </si>
  <si>
    <t>PID0250</t>
  </si>
  <si>
    <t>Priya Bhatt</t>
  </si>
  <si>
    <t>+91-7260892281</t>
  </si>
  <si>
    <t>PID0251</t>
  </si>
  <si>
    <t>+91-6486937758</t>
  </si>
  <si>
    <t>PID0252</t>
  </si>
  <si>
    <t>+91-9321377743</t>
  </si>
  <si>
    <t>PID0253</t>
  </si>
  <si>
    <t>Aisha Mishra</t>
  </si>
  <si>
    <t>+91-6162720486</t>
  </si>
  <si>
    <t>PID0254</t>
  </si>
  <si>
    <t>Aditya Verma</t>
  </si>
  <si>
    <t>+91-8891796055</t>
  </si>
  <si>
    <t>PID0255</t>
  </si>
  <si>
    <t>+91-9530988694</t>
  </si>
  <si>
    <t>PID0256</t>
  </si>
  <si>
    <t>Aarav Trivedi</t>
  </si>
  <si>
    <t>+91-6021602991</t>
  </si>
  <si>
    <t>PID0257</t>
  </si>
  <si>
    <t>Meera Soni</t>
  </si>
  <si>
    <t>+91-6778926596</t>
  </si>
  <si>
    <t>PID0258</t>
  </si>
  <si>
    <t>+91-8660800029</t>
  </si>
  <si>
    <t>PID0259</t>
  </si>
  <si>
    <t>Aditya Singh</t>
  </si>
  <si>
    <t>+91-6951445658</t>
  </si>
  <si>
    <t>PID0260</t>
  </si>
  <si>
    <t>Sneha Desai</t>
  </si>
  <si>
    <t>+91-9549548567</t>
  </si>
  <si>
    <t>PID0261</t>
  </si>
  <si>
    <t>Arjun Mishra</t>
  </si>
  <si>
    <t>+91-8027671011</t>
  </si>
  <si>
    <t>PID0262</t>
  </si>
  <si>
    <t>Arjun Nair</t>
  </si>
  <si>
    <t>+91-6712292620</t>
  </si>
  <si>
    <t>PID0263</t>
  </si>
  <si>
    <t>Diya Mehta</t>
  </si>
  <si>
    <t>+91-6888087890</t>
  </si>
  <si>
    <t>PID0264</t>
  </si>
  <si>
    <t>+91-7625724671</t>
  </si>
  <si>
    <t>PID0265</t>
  </si>
  <si>
    <t>+91-6987802843</t>
  </si>
  <si>
    <t>PID0266</t>
  </si>
  <si>
    <t>Aditya Bhatt</t>
  </si>
  <si>
    <t>+91-8068098256</t>
  </si>
  <si>
    <t>PID0267</t>
  </si>
  <si>
    <t>Neha Trivedi</t>
  </si>
  <si>
    <t>+91-7109216714</t>
  </si>
  <si>
    <t>PID0268</t>
  </si>
  <si>
    <t>Sai Bhatt</t>
  </si>
  <si>
    <t>+91-9296344958</t>
  </si>
  <si>
    <t>PID0269</t>
  </si>
  <si>
    <t>+91-6413599241</t>
  </si>
  <si>
    <t>PID0270</t>
  </si>
  <si>
    <t>+91-7842353139</t>
  </si>
  <si>
    <t>PID0271</t>
  </si>
  <si>
    <t>+91-9193933871</t>
  </si>
  <si>
    <t>PID0272</t>
  </si>
  <si>
    <t>Aarav Kumar</t>
  </si>
  <si>
    <t>+91-8628007501</t>
  </si>
  <si>
    <t>PID0273</t>
  </si>
  <si>
    <t>Ishaan Shah</t>
  </si>
  <si>
    <t>+91-7918110391</t>
  </si>
  <si>
    <t>PID0274</t>
  </si>
  <si>
    <t>Sai Gupta</t>
  </si>
  <si>
    <t>+91-7592724766</t>
  </si>
  <si>
    <t>PID0275</t>
  </si>
  <si>
    <t>Aditya Soni</t>
  </si>
  <si>
    <t>+91-8215402672</t>
  </si>
  <si>
    <t>PID0276</t>
  </si>
  <si>
    <t>+91-9165071083</t>
  </si>
  <si>
    <t>PID0277</t>
  </si>
  <si>
    <t>+91-6457263513</t>
  </si>
  <si>
    <t>PID0278</t>
  </si>
  <si>
    <t>Aisha Verma</t>
  </si>
  <si>
    <t>+91-7458831845</t>
  </si>
  <si>
    <t>PID0279</t>
  </si>
  <si>
    <t>Pooja Pandya</t>
  </si>
  <si>
    <t>+91-6041760776</t>
  </si>
  <si>
    <t>PID0280</t>
  </si>
  <si>
    <t>+91-6857561275</t>
  </si>
  <si>
    <t>PID0281</t>
  </si>
  <si>
    <t>Krishna Yadav</t>
  </si>
  <si>
    <t>+91-9642177784</t>
  </si>
  <si>
    <t>PID0282</t>
  </si>
  <si>
    <t>+91-6139855492</t>
  </si>
  <si>
    <t>PID0283</t>
  </si>
  <si>
    <t>+91-8631861860</t>
  </si>
  <si>
    <t>PID0284</t>
  </si>
  <si>
    <t>Ishaan Joshi</t>
  </si>
  <si>
    <t>+91-7720532107</t>
  </si>
  <si>
    <t>PID0285</t>
  </si>
  <si>
    <t>Ishaan Pandya</t>
  </si>
  <si>
    <t>+91-8145756342</t>
  </si>
  <si>
    <t>PID0286</t>
  </si>
  <si>
    <t>Arjun Bhatt</t>
  </si>
  <si>
    <t>+91-8705237613</t>
  </si>
  <si>
    <t>PID0287</t>
  </si>
  <si>
    <t>Vihaan Pandya</t>
  </si>
  <si>
    <t>+91-7396252148</t>
  </si>
  <si>
    <t>PID0288</t>
  </si>
  <si>
    <t>Diya Trivedi</t>
  </si>
  <si>
    <t>+91-7475860255</t>
  </si>
  <si>
    <t>PID0289</t>
  </si>
  <si>
    <t>Krishna Reddy</t>
  </si>
  <si>
    <t>+91-9125758723</t>
  </si>
  <si>
    <t>PID0290</t>
  </si>
  <si>
    <t>+91-8654728627</t>
  </si>
  <si>
    <t>PID0291</t>
  </si>
  <si>
    <t>Arjun Verma</t>
  </si>
  <si>
    <t>+91-9695255926</t>
  </si>
  <si>
    <t>PID0292</t>
  </si>
  <si>
    <t>+91-8317856944</t>
  </si>
  <si>
    <t>PID0293</t>
  </si>
  <si>
    <t>Krishna Verma</t>
  </si>
  <si>
    <t>+91-8953949477</t>
  </si>
  <si>
    <t>PID0294</t>
  </si>
  <si>
    <t>+91-9165897064</t>
  </si>
  <si>
    <t>PID0295</t>
  </si>
  <si>
    <t>Kavya Shah</t>
  </si>
  <si>
    <t>+91-9665677395</t>
  </si>
  <si>
    <t>PID0296</t>
  </si>
  <si>
    <t>Aditya Joshi</t>
  </si>
  <si>
    <t>+91-6798595882</t>
  </si>
  <si>
    <t>PID0297</t>
  </si>
  <si>
    <t>Vihaan Kapoor</t>
  </si>
  <si>
    <t>+91-8993312165</t>
  </si>
  <si>
    <t>PID0298</t>
  </si>
  <si>
    <t>+91-9069538076</t>
  </si>
  <si>
    <t>PID0299</t>
  </si>
  <si>
    <t>Krishna Shah</t>
  </si>
  <si>
    <t>+91-6181187132</t>
  </si>
  <si>
    <t>PID0300</t>
  </si>
  <si>
    <t>+91-6718807242</t>
  </si>
  <si>
    <t>PID0301</t>
  </si>
  <si>
    <t>Ishaan Kumar</t>
  </si>
  <si>
    <t>+91-8657059443</t>
  </si>
  <si>
    <t>PID0302</t>
  </si>
  <si>
    <t>+91-7622505239</t>
  </si>
  <si>
    <t>PID0303</t>
  </si>
  <si>
    <t>+91-8011740002</t>
  </si>
  <si>
    <t>PID0304</t>
  </si>
  <si>
    <t>+91-9792165664</t>
  </si>
  <si>
    <t>PID0305</t>
  </si>
  <si>
    <t>+91-8752661410</t>
  </si>
  <si>
    <t>PID0306</t>
  </si>
  <si>
    <t>+91-8258385550</t>
  </si>
  <si>
    <t>PID0307</t>
  </si>
  <si>
    <t>Riya Kumar</t>
  </si>
  <si>
    <t>+91-9193211278</t>
  </si>
  <si>
    <t>PID0308</t>
  </si>
  <si>
    <t>+91-7068429057</t>
  </si>
  <si>
    <t>PID0309</t>
  </si>
  <si>
    <t>+91-8293085064</t>
  </si>
  <si>
    <t>PID0310</t>
  </si>
  <si>
    <t>+91-7921996951</t>
  </si>
  <si>
    <t>PID0311</t>
  </si>
  <si>
    <t>Kavya Sharma</t>
  </si>
  <si>
    <t>+91-7977273278</t>
  </si>
  <si>
    <t>PID0312</t>
  </si>
  <si>
    <t>+91-9405497598</t>
  </si>
  <si>
    <t>PID0313</t>
  </si>
  <si>
    <t>+91-8803665224</t>
  </si>
  <si>
    <t>PID0314</t>
  </si>
  <si>
    <t>Riya Sharma</t>
  </si>
  <si>
    <t>+91-7687418351</t>
  </si>
  <si>
    <t>PID0315</t>
  </si>
  <si>
    <t>+91-7711660604</t>
  </si>
  <si>
    <t>PID0316</t>
  </si>
  <si>
    <t>Diya Chauhan</t>
  </si>
  <si>
    <t>+91-7847118259</t>
  </si>
  <si>
    <t>PID0317</t>
  </si>
  <si>
    <t>Priya Kumar</t>
  </si>
  <si>
    <t>+91-9447982663</t>
  </si>
  <si>
    <t>PID0318</t>
  </si>
  <si>
    <t>+91-7474339313</t>
  </si>
  <si>
    <t>PID0319</t>
  </si>
  <si>
    <t>+91-8870157362</t>
  </si>
  <si>
    <t>PID0320</t>
  </si>
  <si>
    <t>+91-8836279709</t>
  </si>
  <si>
    <t>PID0321</t>
  </si>
  <si>
    <t>+91-8408134650</t>
  </si>
  <si>
    <t>PID0322</t>
  </si>
  <si>
    <t>Aarav Patel</t>
  </si>
  <si>
    <t>+91-7106724433</t>
  </si>
  <si>
    <t>PID0323</t>
  </si>
  <si>
    <t>+91-7831653186</t>
  </si>
  <si>
    <t>PID0324</t>
  </si>
  <si>
    <t>Rohan Soni</t>
  </si>
  <si>
    <t>+91-9938966574</t>
  </si>
  <si>
    <t>PID0325</t>
  </si>
  <si>
    <t>+91-6807168703</t>
  </si>
  <si>
    <t>PID0326</t>
  </si>
  <si>
    <t>+91-7606143397</t>
  </si>
  <si>
    <t>PID0327</t>
  </si>
  <si>
    <t>Sai Shah</t>
  </si>
  <si>
    <t>+91-6760545067</t>
  </si>
  <si>
    <t>PID0328</t>
  </si>
  <si>
    <t>+91-7939648421</t>
  </si>
  <si>
    <t>PID0329</t>
  </si>
  <si>
    <t>+91-8633391667</t>
  </si>
  <si>
    <t>PID0330</t>
  </si>
  <si>
    <t>Vivaan Bhatt</t>
  </si>
  <si>
    <t>+91-6106996713</t>
  </si>
  <si>
    <t>PID0331</t>
  </si>
  <si>
    <t>Sai Pandya</t>
  </si>
  <si>
    <t>+91-6366388824</t>
  </si>
  <si>
    <t>PID0332</t>
  </si>
  <si>
    <t>+91-9058220682</t>
  </si>
  <si>
    <t>PID0333</t>
  </si>
  <si>
    <t>+91-8141652101</t>
  </si>
  <si>
    <t>PID0334</t>
  </si>
  <si>
    <t>Aisha Sharma</t>
  </si>
  <si>
    <t>+91-8394653192</t>
  </si>
  <si>
    <t>PID0335</t>
  </si>
  <si>
    <t>+91-7790816346</t>
  </si>
  <si>
    <t>PID0336</t>
  </si>
  <si>
    <t>Sai Joshi</t>
  </si>
  <si>
    <t>+91-7257706935</t>
  </si>
  <si>
    <t>PID0337</t>
  </si>
  <si>
    <t>+91-9641264554</t>
  </si>
  <si>
    <t>PID0338</t>
  </si>
  <si>
    <t>Priya Desai</t>
  </si>
  <si>
    <t>+91-7996668602</t>
  </si>
  <si>
    <t>PID0339</t>
  </si>
  <si>
    <t>+91-6291353679</t>
  </si>
  <si>
    <t>PID0340</t>
  </si>
  <si>
    <t>+91-8057754346</t>
  </si>
  <si>
    <t>PID0341</t>
  </si>
  <si>
    <t>+91-6080395064</t>
  </si>
  <si>
    <t>PID0342</t>
  </si>
  <si>
    <t>+91-9684306615</t>
  </si>
  <si>
    <t>PID0343</t>
  </si>
  <si>
    <t>+91-6160610438</t>
  </si>
  <si>
    <t>PID0344</t>
  </si>
  <si>
    <t>Reyansh Verma</t>
  </si>
  <si>
    <t>+91-6570015858</t>
  </si>
  <si>
    <t>PID0345</t>
  </si>
  <si>
    <t>+91-8830315936</t>
  </si>
  <si>
    <t>PID0346</t>
  </si>
  <si>
    <t>Rohan Sharma</t>
  </si>
  <si>
    <t>+91-6491603670</t>
  </si>
  <si>
    <t>PID0347</t>
  </si>
  <si>
    <t>+91-9832154946</t>
  </si>
  <si>
    <t>PID0348</t>
  </si>
  <si>
    <t>+91-7341922388</t>
  </si>
  <si>
    <t>PID0349</t>
  </si>
  <si>
    <t>+91-9847005898</t>
  </si>
  <si>
    <t>PID0350</t>
  </si>
  <si>
    <t>Riya Desai</t>
  </si>
  <si>
    <t>+91-9298283688</t>
  </si>
  <si>
    <t>PID0351</t>
  </si>
  <si>
    <t>Ananya Soni</t>
  </si>
  <si>
    <t>+91-7046645121</t>
  </si>
  <si>
    <t>PID0352</t>
  </si>
  <si>
    <t>Aisha Joshi</t>
  </si>
  <si>
    <t>+91-8466119912</t>
  </si>
  <si>
    <t>PID0353</t>
  </si>
  <si>
    <t>+91-6264064129</t>
  </si>
  <si>
    <t>PID0354</t>
  </si>
  <si>
    <t>+91-9411692919</t>
  </si>
  <si>
    <t>PID0355</t>
  </si>
  <si>
    <t>+91-7854203954</t>
  </si>
  <si>
    <t>PID0356</t>
  </si>
  <si>
    <t>Meera Shah</t>
  </si>
  <si>
    <t>+91-7792012815</t>
  </si>
  <si>
    <t>PID0357</t>
  </si>
  <si>
    <t>Arjun Kapoor</t>
  </si>
  <si>
    <t>+91-8986679532</t>
  </si>
  <si>
    <t>PID0358</t>
  </si>
  <si>
    <t>Riya Chauhan</t>
  </si>
  <si>
    <t>+91-9058575055</t>
  </si>
  <si>
    <t>PID0359</t>
  </si>
  <si>
    <t>Diya Desai</t>
  </si>
  <si>
    <t>+91-6336015067</t>
  </si>
  <si>
    <t>PID0360</t>
  </si>
  <si>
    <t>Diya Soni</t>
  </si>
  <si>
    <t>+91-7423841741</t>
  </si>
  <si>
    <t>PID0361</t>
  </si>
  <si>
    <t>+91-6117244390</t>
  </si>
  <si>
    <t>PID0362</t>
  </si>
  <si>
    <t>+91-6649122505</t>
  </si>
  <si>
    <t>PID0363</t>
  </si>
  <si>
    <t>+91-7645689727</t>
  </si>
  <si>
    <t>PID0364</t>
  </si>
  <si>
    <t>Krishna Pandya</t>
  </si>
  <si>
    <t>+91-9204692162</t>
  </si>
  <si>
    <t>PID0365</t>
  </si>
  <si>
    <t>Aisha Yadav</t>
  </si>
  <si>
    <t>+91-6176169319</t>
  </si>
  <si>
    <t>PID0366</t>
  </si>
  <si>
    <t>+91-8528551559</t>
  </si>
  <si>
    <t>PID0367</t>
  </si>
  <si>
    <t>Reyansh Bhatt</t>
  </si>
  <si>
    <t>+91-7081885552</t>
  </si>
  <si>
    <t>PID0368</t>
  </si>
  <si>
    <t>+91-8005558943</t>
  </si>
  <si>
    <t>PID0369</t>
  </si>
  <si>
    <t>+91-7892254518</t>
  </si>
  <si>
    <t>PID0370</t>
  </si>
  <si>
    <t>+91-6313186891</t>
  </si>
  <si>
    <t>PID0371</t>
  </si>
  <si>
    <t>Aditya Kumar</t>
  </si>
  <si>
    <t>+91-6015907492</t>
  </si>
  <si>
    <t>PID0372</t>
  </si>
  <si>
    <t>+91-8715589803</t>
  </si>
  <si>
    <t>PID0373</t>
  </si>
  <si>
    <t>+91-8958556372</t>
  </si>
  <si>
    <t>PID0374</t>
  </si>
  <si>
    <t>Ananya Trivedi</t>
  </si>
  <si>
    <t>+91-9583077705</t>
  </si>
  <si>
    <t>PID0375</t>
  </si>
  <si>
    <t>+91-7000665786</t>
  </si>
  <si>
    <t>PID0376</t>
  </si>
  <si>
    <t>+91-6733105340</t>
  </si>
  <si>
    <t>PID0377</t>
  </si>
  <si>
    <t>Meera Verma</t>
  </si>
  <si>
    <t>+91-9406345733</t>
  </si>
  <si>
    <t>PID0378</t>
  </si>
  <si>
    <t>+91-6572823571</t>
  </si>
  <si>
    <t>PID0379</t>
  </si>
  <si>
    <t>Vihaan Soni</t>
  </si>
  <si>
    <t>+91-6885451419</t>
  </si>
  <si>
    <t>PID0380</t>
  </si>
  <si>
    <t>+91-7012061834</t>
  </si>
  <si>
    <t>PID0381</t>
  </si>
  <si>
    <t>Reyansh Gupta</t>
  </si>
  <si>
    <t>+91-9962850544</t>
  </si>
  <si>
    <t>PID0382</t>
  </si>
  <si>
    <t>+91-6124834191</t>
  </si>
  <si>
    <t>PID0383</t>
  </si>
  <si>
    <t>Neha Bhatt</t>
  </si>
  <si>
    <t>+91-9168602952</t>
  </si>
  <si>
    <t>PID0384</t>
  </si>
  <si>
    <t>+91-7965979155</t>
  </si>
  <si>
    <t>PID0385</t>
  </si>
  <si>
    <t>Reyansh Nair</t>
  </si>
  <si>
    <t>+91-8592596823</t>
  </si>
  <si>
    <t>PID0386</t>
  </si>
  <si>
    <t>+91-7059371626</t>
  </si>
  <si>
    <t>PID0387</t>
  </si>
  <si>
    <t>+91-7032989010</t>
  </si>
  <si>
    <t>PID0388</t>
  </si>
  <si>
    <t>+91-8506801119</t>
  </si>
  <si>
    <t>PID0389</t>
  </si>
  <si>
    <t>Aarav Pandya</t>
  </si>
  <si>
    <t>+91-7273844284</t>
  </si>
  <si>
    <t>PID0390</t>
  </si>
  <si>
    <t>+91-7570116109</t>
  </si>
  <si>
    <t>PID0391</t>
  </si>
  <si>
    <t>Ananya Joshi</t>
  </si>
  <si>
    <t>+91-9856593038</t>
  </si>
  <si>
    <t>PID0392</t>
  </si>
  <si>
    <t>+91-7581174368</t>
  </si>
  <si>
    <t>PID0393</t>
  </si>
  <si>
    <t>+91-8694130765</t>
  </si>
  <si>
    <t>PID0394</t>
  </si>
  <si>
    <t>+91-7442582315</t>
  </si>
  <si>
    <t>PID0395</t>
  </si>
  <si>
    <t>Sneha Kumar</t>
  </si>
  <si>
    <t>+91-9631453750</t>
  </si>
  <si>
    <t>PID0396</t>
  </si>
  <si>
    <t>Vivaan Mehta</t>
  </si>
  <si>
    <t>+91-8467566824</t>
  </si>
  <si>
    <t>PID0397</t>
  </si>
  <si>
    <t>+91-6521795675</t>
  </si>
  <si>
    <t>PID0398</t>
  </si>
  <si>
    <t>+91-9895023311</t>
  </si>
  <si>
    <t>PID0399</t>
  </si>
  <si>
    <t>Pooja Reddy</t>
  </si>
  <si>
    <t>+91-8611989536</t>
  </si>
  <si>
    <t>PID0400</t>
  </si>
  <si>
    <t>+91-8598789449</t>
  </si>
  <si>
    <t>PID0401</t>
  </si>
  <si>
    <t>Diya Patel</t>
  </si>
  <si>
    <t>+91-9813092901</t>
  </si>
  <si>
    <t>PID0402</t>
  </si>
  <si>
    <t>Pooja Chauhan</t>
  </si>
  <si>
    <t>+91-6283965102</t>
  </si>
  <si>
    <t>PID0403</t>
  </si>
  <si>
    <t>+91-8107049214</t>
  </si>
  <si>
    <t>PID0404</t>
  </si>
  <si>
    <t>+91-8112636421</t>
  </si>
  <si>
    <t>PID0405</t>
  </si>
  <si>
    <t>Krishna Sharma</t>
  </si>
  <si>
    <t>+91-8498187046</t>
  </si>
  <si>
    <t>PID0406</t>
  </si>
  <si>
    <t>+91-6329968072</t>
  </si>
  <si>
    <t>PID0407</t>
  </si>
  <si>
    <t>Diya Singh</t>
  </si>
  <si>
    <t>+91-6588193385</t>
  </si>
  <si>
    <t>PID0408</t>
  </si>
  <si>
    <t>Diya Kapoor</t>
  </si>
  <si>
    <t>+91-9516911409</t>
  </si>
  <si>
    <t>PID0409</t>
  </si>
  <si>
    <t>Arjun Sharma</t>
  </si>
  <si>
    <t>+91-9679993305</t>
  </si>
  <si>
    <t>PID0410</t>
  </si>
  <si>
    <t>+91-6463072131</t>
  </si>
  <si>
    <t>PID0411</t>
  </si>
  <si>
    <t>+91-6793631899</t>
  </si>
  <si>
    <t>PID0412</t>
  </si>
  <si>
    <t>Ananya Sharma</t>
  </si>
  <si>
    <t>+91-9074387556</t>
  </si>
  <si>
    <t>PID0413</t>
  </si>
  <si>
    <t>+91-6920299834</t>
  </si>
  <si>
    <t>PID0414</t>
  </si>
  <si>
    <t>+91-7652622320</t>
  </si>
  <si>
    <t>PID0415</t>
  </si>
  <si>
    <t>Rohan Pandya</t>
  </si>
  <si>
    <t>+91-8886628103</t>
  </si>
  <si>
    <t>PID0416</t>
  </si>
  <si>
    <t>+91-9625079075</t>
  </si>
  <si>
    <t>PID0417</t>
  </si>
  <si>
    <t>Kavya Gupta</t>
  </si>
  <si>
    <t>+91-7197826153</t>
  </si>
  <si>
    <t>PID0418</t>
  </si>
  <si>
    <t>+91-8596668166</t>
  </si>
  <si>
    <t>PID0419</t>
  </si>
  <si>
    <t>+91-6075893742</t>
  </si>
  <si>
    <t>PID0420</t>
  </si>
  <si>
    <t>+91-6577622607</t>
  </si>
  <si>
    <t>PID0421</t>
  </si>
  <si>
    <t>Rohan Shah</t>
  </si>
  <si>
    <t>+91-6263813981</t>
  </si>
  <si>
    <t>PID0422</t>
  </si>
  <si>
    <t>+91-6242447651</t>
  </si>
  <si>
    <t>PID0423</t>
  </si>
  <si>
    <t>+91-9871525815</t>
  </si>
  <si>
    <t>PID0424</t>
  </si>
  <si>
    <t>+91-9285237219</t>
  </si>
  <si>
    <t>PID0425</t>
  </si>
  <si>
    <t>+91-7726694320</t>
  </si>
  <si>
    <t>PID0426</t>
  </si>
  <si>
    <t>+91-8319057193</t>
  </si>
  <si>
    <t>PID0427</t>
  </si>
  <si>
    <t>+91-9538657911</t>
  </si>
  <si>
    <t>PID0428</t>
  </si>
  <si>
    <t>+91-6874275114</t>
  </si>
  <si>
    <t>PID0429</t>
  </si>
  <si>
    <t>+91-7812558340</t>
  </si>
  <si>
    <t>PID0430</t>
  </si>
  <si>
    <t>+91-9850461711</t>
  </si>
  <si>
    <t>PID0431</t>
  </si>
  <si>
    <t>+91-7022532318</t>
  </si>
  <si>
    <t>PID0432</t>
  </si>
  <si>
    <t>Riya Gupta</t>
  </si>
  <si>
    <t>+91-8106074066</t>
  </si>
  <si>
    <t>PID0433</t>
  </si>
  <si>
    <t>Aisha Nair</t>
  </si>
  <si>
    <t>+91-9887930807</t>
  </si>
  <si>
    <t>PID0434</t>
  </si>
  <si>
    <t>+91-9907514416</t>
  </si>
  <si>
    <t>PID0435</t>
  </si>
  <si>
    <t>+91-9165141634</t>
  </si>
  <si>
    <t>PID0436</t>
  </si>
  <si>
    <t>Sneha Reddy</t>
  </si>
  <si>
    <t>+91-8755618874</t>
  </si>
  <si>
    <t>PID0437</t>
  </si>
  <si>
    <t>+91-7762294656</t>
  </si>
  <si>
    <t>PID0438</t>
  </si>
  <si>
    <t>Priya Pandya</t>
  </si>
  <si>
    <t>+91-9964737348</t>
  </si>
  <si>
    <t>PID0439</t>
  </si>
  <si>
    <t>+91-7580205025</t>
  </si>
  <si>
    <t>PID0440</t>
  </si>
  <si>
    <t>+91-7852456283</t>
  </si>
  <si>
    <t>PID0441</t>
  </si>
  <si>
    <t>+91-8503549632</t>
  </si>
  <si>
    <t>PID0442</t>
  </si>
  <si>
    <t>+91-6223821957</t>
  </si>
  <si>
    <t>PID0443</t>
  </si>
  <si>
    <t>+91-7117944144</t>
  </si>
  <si>
    <t>PID0444</t>
  </si>
  <si>
    <t>+91-9743835172</t>
  </si>
  <si>
    <t>PID0445</t>
  </si>
  <si>
    <t>+91-6987243526</t>
  </si>
  <si>
    <t>PID0446</t>
  </si>
  <si>
    <t>Sai Patel</t>
  </si>
  <si>
    <t>+91-9091362681</t>
  </si>
  <si>
    <t>PID0447</t>
  </si>
  <si>
    <t>Arjun Gupta</t>
  </si>
  <si>
    <t>+91-8451514991</t>
  </si>
  <si>
    <t>PID0448</t>
  </si>
  <si>
    <t>Sai Chauhan</t>
  </si>
  <si>
    <t>+91-6124015059</t>
  </si>
  <si>
    <t>PID0449</t>
  </si>
  <si>
    <t>+91-7388008205</t>
  </si>
  <si>
    <t>PID0450</t>
  </si>
  <si>
    <t>+91-8779565402</t>
  </si>
  <si>
    <t>PID0451</t>
  </si>
  <si>
    <t>+91-8418311717</t>
  </si>
  <si>
    <t>PID0452</t>
  </si>
  <si>
    <t>+91-8703937817</t>
  </si>
  <si>
    <t>PID0453</t>
  </si>
  <si>
    <t>Diya Verma</t>
  </si>
  <si>
    <t>+91-9939782161</t>
  </si>
  <si>
    <t>PID0454</t>
  </si>
  <si>
    <t>+91-6782577962</t>
  </si>
  <si>
    <t>PID0455</t>
  </si>
  <si>
    <t>Kavya Patel</t>
  </si>
  <si>
    <t>+91-7113760908</t>
  </si>
  <si>
    <t>PID0456</t>
  </si>
  <si>
    <t>Vihaan Chauhan</t>
  </si>
  <si>
    <t>+91-8964787371</t>
  </si>
  <si>
    <t>PID0457</t>
  </si>
  <si>
    <t>Kavya Kapoor</t>
  </si>
  <si>
    <t>+91-7871697244</t>
  </si>
  <si>
    <t>PID0458</t>
  </si>
  <si>
    <t>+91-7042086420</t>
  </si>
  <si>
    <t>PID0459</t>
  </si>
  <si>
    <t>+91-8204846019</t>
  </si>
  <si>
    <t>PID0460</t>
  </si>
  <si>
    <t>+91-7489340533</t>
  </si>
  <si>
    <t>PID0461</t>
  </si>
  <si>
    <t>+91-9105239895</t>
  </si>
  <si>
    <t>PID0462</t>
  </si>
  <si>
    <t>+91-8113921661</t>
  </si>
  <si>
    <t>PID0463</t>
  </si>
  <si>
    <t>+91-7849500820</t>
  </si>
  <si>
    <t>PID0464</t>
  </si>
  <si>
    <t>+91-9979854542</t>
  </si>
  <si>
    <t>PID0465</t>
  </si>
  <si>
    <t>+91-9272613422</t>
  </si>
  <si>
    <t>PID0466</t>
  </si>
  <si>
    <t>+91-8169056122</t>
  </si>
  <si>
    <t>PID0467</t>
  </si>
  <si>
    <t>+91-9857160925</t>
  </si>
  <si>
    <t>PID0468</t>
  </si>
  <si>
    <t>+91-6159316365</t>
  </si>
  <si>
    <t>PID0469</t>
  </si>
  <si>
    <t>+91-7916367361</t>
  </si>
  <si>
    <t>PID0470</t>
  </si>
  <si>
    <t>+91-8197612808</t>
  </si>
  <si>
    <t>PID0471</t>
  </si>
  <si>
    <t>Aisha Kapoor</t>
  </si>
  <si>
    <t>+91-8692899551</t>
  </si>
  <si>
    <t>PID0472</t>
  </si>
  <si>
    <t>+91-9370644214</t>
  </si>
  <si>
    <t>PID0473</t>
  </si>
  <si>
    <t>+91-6396204771</t>
  </si>
  <si>
    <t>PID0474</t>
  </si>
  <si>
    <t>+91-8733579809</t>
  </si>
  <si>
    <t>PID0475</t>
  </si>
  <si>
    <t>Sneha Pandya</t>
  </si>
  <si>
    <t>+91-6140047655</t>
  </si>
  <si>
    <t>PID0476</t>
  </si>
  <si>
    <t>Sai Mishra</t>
  </si>
  <si>
    <t>+91-7262640058</t>
  </si>
  <si>
    <t>PID0477</t>
  </si>
  <si>
    <t>+91-8461270060</t>
  </si>
  <si>
    <t>PID0478</t>
  </si>
  <si>
    <t>Rohan Kumar</t>
  </si>
  <si>
    <t>+91-8683368550</t>
  </si>
  <si>
    <t>PID0479</t>
  </si>
  <si>
    <t>+91-9419475932</t>
  </si>
  <si>
    <t>PID0480</t>
  </si>
  <si>
    <t>Rohan Mishra</t>
  </si>
  <si>
    <t>+91-9379095790</t>
  </si>
  <si>
    <t>PID0481</t>
  </si>
  <si>
    <t>Reyansh Yadav</t>
  </si>
  <si>
    <t>+91-6390949767</t>
  </si>
  <si>
    <t>PID0482</t>
  </si>
  <si>
    <t>Vihaan Gupta</t>
  </si>
  <si>
    <t>+91-9063602860</t>
  </si>
  <si>
    <t>PID0483</t>
  </si>
  <si>
    <t>+91-9231490354</t>
  </si>
  <si>
    <t>PID0484</t>
  </si>
  <si>
    <t>+91-8382450355</t>
  </si>
  <si>
    <t>PID0485</t>
  </si>
  <si>
    <t>+91-6179495626</t>
  </si>
  <si>
    <t>PID0486</t>
  </si>
  <si>
    <t>+91-8191843886</t>
  </si>
  <si>
    <t>PID0487</t>
  </si>
  <si>
    <t>+91-8728033887</t>
  </si>
  <si>
    <t>PID0488</t>
  </si>
  <si>
    <t>+91-8889252025</t>
  </si>
  <si>
    <t>PID0489</t>
  </si>
  <si>
    <t>+91-7661083050</t>
  </si>
  <si>
    <t>PID0490</t>
  </si>
  <si>
    <t>Sai Sharma</t>
  </si>
  <si>
    <t>+91-7006130182</t>
  </si>
  <si>
    <t>PID0491</t>
  </si>
  <si>
    <t>+91-8429693268</t>
  </si>
  <si>
    <t>PID0492</t>
  </si>
  <si>
    <t>+91-8288966376</t>
  </si>
  <si>
    <t>PID0493</t>
  </si>
  <si>
    <t>+91-6186679343</t>
  </si>
  <si>
    <t>PID0494</t>
  </si>
  <si>
    <t>+91-6845579519</t>
  </si>
  <si>
    <t>PID0495</t>
  </si>
  <si>
    <t>+91-7463733306</t>
  </si>
  <si>
    <t>PID0496</t>
  </si>
  <si>
    <t>+91-9947572236</t>
  </si>
  <si>
    <t>PID0497</t>
  </si>
  <si>
    <t>+91-7993762863</t>
  </si>
  <si>
    <t>PID0498</t>
  </si>
  <si>
    <t>+91-9611120314</t>
  </si>
  <si>
    <t>PID0499</t>
  </si>
  <si>
    <t>+91-9240010091</t>
  </si>
  <si>
    <t>PID0500</t>
  </si>
  <si>
    <t>Ananya Kapoor</t>
  </si>
  <si>
    <t>+91-9587048998</t>
  </si>
  <si>
    <t>PID0501</t>
  </si>
  <si>
    <t>Aisha Patel</t>
  </si>
  <si>
    <t>+91-7798282567</t>
  </si>
  <si>
    <t>PID0502</t>
  </si>
  <si>
    <t>+91-9498906591</t>
  </si>
  <si>
    <t>PID0503</t>
  </si>
  <si>
    <t>+91-8515503899</t>
  </si>
  <si>
    <t>PID0504</t>
  </si>
  <si>
    <t>Ananya Patel</t>
  </si>
  <si>
    <t>+91-9620148151</t>
  </si>
  <si>
    <t>PID0505</t>
  </si>
  <si>
    <t>+91-6508924953</t>
  </si>
  <si>
    <t>PID0506</t>
  </si>
  <si>
    <t>+91-7061594170</t>
  </si>
  <si>
    <t>PID0507</t>
  </si>
  <si>
    <t>Vivaan Desai</t>
  </si>
  <si>
    <t>+91-9060107828</t>
  </si>
  <si>
    <t>PID0508</t>
  </si>
  <si>
    <t>+91-7006674160</t>
  </si>
  <si>
    <t>PID0509</t>
  </si>
  <si>
    <t>Kavya Singh</t>
  </si>
  <si>
    <t>+91-6176707493</t>
  </si>
  <si>
    <t>PID0510</t>
  </si>
  <si>
    <t>+91-7140850154</t>
  </si>
  <si>
    <t>PID0511</t>
  </si>
  <si>
    <t>+91-7073843390</t>
  </si>
  <si>
    <t>PID0512</t>
  </si>
  <si>
    <t>Rohan Desai</t>
  </si>
  <si>
    <t>+91-6974641050</t>
  </si>
  <si>
    <t>PID0513</t>
  </si>
  <si>
    <t>Reyansh Trivedi</t>
  </si>
  <si>
    <t>+91-7609324972</t>
  </si>
  <si>
    <t>PID0514</t>
  </si>
  <si>
    <t>+91-6138336549</t>
  </si>
  <si>
    <t>PID0515</t>
  </si>
  <si>
    <t>+91-6400469224</t>
  </si>
  <si>
    <t>PID0516</t>
  </si>
  <si>
    <t>+91-7583349418</t>
  </si>
  <si>
    <t>PID0517</t>
  </si>
  <si>
    <t>Diya Sharma</t>
  </si>
  <si>
    <t>+91-6883376029</t>
  </si>
  <si>
    <t>PID0518</t>
  </si>
  <si>
    <t>+91-7060170258</t>
  </si>
  <si>
    <t>PID0519</t>
  </si>
  <si>
    <t>Diya Reddy</t>
  </si>
  <si>
    <t>+91-9536603219</t>
  </si>
  <si>
    <t>PID0520</t>
  </si>
  <si>
    <t>+91-8309565171</t>
  </si>
  <si>
    <t>PID0521</t>
  </si>
  <si>
    <t>+91-6191706583</t>
  </si>
  <si>
    <t>PID0522</t>
  </si>
  <si>
    <t>+91-6293076437</t>
  </si>
  <si>
    <t>PID0523</t>
  </si>
  <si>
    <t>+91-9184488404</t>
  </si>
  <si>
    <t>PID0524</t>
  </si>
  <si>
    <t>Kavya Joshi</t>
  </si>
  <si>
    <t>+91-8245728727</t>
  </si>
  <si>
    <t>PID0525</t>
  </si>
  <si>
    <t>+91-6062534560</t>
  </si>
  <si>
    <t>PID0526</t>
  </si>
  <si>
    <t>+91-7837731893</t>
  </si>
  <si>
    <t>PID0527</t>
  </si>
  <si>
    <t>+91-9500762967</t>
  </si>
  <si>
    <t>PID0528</t>
  </si>
  <si>
    <t>+91-8709582850</t>
  </si>
  <si>
    <t>PID0529</t>
  </si>
  <si>
    <t>+91-8647197407</t>
  </si>
  <si>
    <t>PID0530</t>
  </si>
  <si>
    <t>+91-8568713374</t>
  </si>
  <si>
    <t>PID0531</t>
  </si>
  <si>
    <t>+91-6232245954</t>
  </si>
  <si>
    <t>PID0532</t>
  </si>
  <si>
    <t>+91-8545329249</t>
  </si>
  <si>
    <t>PID0533</t>
  </si>
  <si>
    <t>+91-8729897436</t>
  </si>
  <si>
    <t>PID0534</t>
  </si>
  <si>
    <t>+91-9272461428</t>
  </si>
  <si>
    <t>PID0535</t>
  </si>
  <si>
    <t>+91-8015449824</t>
  </si>
  <si>
    <t>PID0536</t>
  </si>
  <si>
    <t>Reyansh Mehta</t>
  </si>
  <si>
    <t>+91-9958255823</t>
  </si>
  <si>
    <t>PID0537</t>
  </si>
  <si>
    <t>+91-7059962775</t>
  </si>
  <si>
    <t>PID0538</t>
  </si>
  <si>
    <t>+91-9056339391</t>
  </si>
  <si>
    <t>PID0539</t>
  </si>
  <si>
    <t>+91-9231800764</t>
  </si>
  <si>
    <t>PID0540</t>
  </si>
  <si>
    <t>Aditya Gupta</t>
  </si>
  <si>
    <t>+91-8254694587</t>
  </si>
  <si>
    <t>PID0541</t>
  </si>
  <si>
    <t>+91-6253326043</t>
  </si>
  <si>
    <t>PID0542</t>
  </si>
  <si>
    <t>+91-8052552491</t>
  </si>
  <si>
    <t>PID0543</t>
  </si>
  <si>
    <t>+91-7844489276</t>
  </si>
  <si>
    <t>PID0544</t>
  </si>
  <si>
    <t>+91-9813804448</t>
  </si>
  <si>
    <t>PID0545</t>
  </si>
  <si>
    <t>+91-9490172225</t>
  </si>
  <si>
    <t>PID0546</t>
  </si>
  <si>
    <t>+91-9004328465</t>
  </si>
  <si>
    <t>PID0547</t>
  </si>
  <si>
    <t>+91-8846026189</t>
  </si>
  <si>
    <t>PID0548</t>
  </si>
  <si>
    <t>+91-9854779900</t>
  </si>
  <si>
    <t>PID0549</t>
  </si>
  <si>
    <t>+91-6496884614</t>
  </si>
  <si>
    <t>PID0550</t>
  </si>
  <si>
    <t>+91-6815432487</t>
  </si>
  <si>
    <t>PID0551</t>
  </si>
  <si>
    <t>+91-7957579670</t>
  </si>
  <si>
    <t>PID0552</t>
  </si>
  <si>
    <t>+91-9024260318</t>
  </si>
  <si>
    <t>PID0553</t>
  </si>
  <si>
    <t>+91-8911552700</t>
  </si>
  <si>
    <t>PID0554</t>
  </si>
  <si>
    <t>+91-7965087134</t>
  </si>
  <si>
    <t>PID0555</t>
  </si>
  <si>
    <t>+91-9686932034</t>
  </si>
  <si>
    <t>PID0556</t>
  </si>
  <si>
    <t>Arjun Shah</t>
  </si>
  <si>
    <t>+91-6510253039</t>
  </si>
  <si>
    <t>PID0557</t>
  </si>
  <si>
    <t>+91-6354923180</t>
  </si>
  <si>
    <t>PID0558</t>
  </si>
  <si>
    <t>Vihaan Trivedi</t>
  </si>
  <si>
    <t>+91-6272723132</t>
  </si>
  <si>
    <t>PID0559</t>
  </si>
  <si>
    <t>+91-8573126110</t>
  </si>
  <si>
    <t>PID0560</t>
  </si>
  <si>
    <t>+91-8173890447</t>
  </si>
  <si>
    <t>PID0561</t>
  </si>
  <si>
    <t>+91-8244834495</t>
  </si>
  <si>
    <t>PID0562</t>
  </si>
  <si>
    <t>+91-9131479580</t>
  </si>
  <si>
    <t>PID0563</t>
  </si>
  <si>
    <t>+91-9146814737</t>
  </si>
  <si>
    <t>PID0564</t>
  </si>
  <si>
    <t>Ishaan Singh</t>
  </si>
  <si>
    <t>+91-7747112232</t>
  </si>
  <si>
    <t>PID0565</t>
  </si>
  <si>
    <t>+91-9361815290</t>
  </si>
  <si>
    <t>PID0566</t>
  </si>
  <si>
    <t>Vihaan Joshi</t>
  </si>
  <si>
    <t>+91-7673161789</t>
  </si>
  <si>
    <t>PID0567</t>
  </si>
  <si>
    <t>Sai Nair</t>
  </si>
  <si>
    <t>+91-8745315125</t>
  </si>
  <si>
    <t>PID0568</t>
  </si>
  <si>
    <t>+91-9684744684</t>
  </si>
  <si>
    <t>PID0569</t>
  </si>
  <si>
    <t>+91-8907834855</t>
  </si>
  <si>
    <t>PID0570</t>
  </si>
  <si>
    <t>+91-6723840867</t>
  </si>
  <si>
    <t>PID0571</t>
  </si>
  <si>
    <t>+91-9572237717</t>
  </si>
  <si>
    <t>PID0572</t>
  </si>
  <si>
    <t>Aisha Gupta</t>
  </si>
  <si>
    <t>+91-9643643161</t>
  </si>
  <si>
    <t>PID0573</t>
  </si>
  <si>
    <t>+91-6848446906</t>
  </si>
  <si>
    <t>PID0574</t>
  </si>
  <si>
    <t>+91-7839712603</t>
  </si>
  <si>
    <t>PID0575</t>
  </si>
  <si>
    <t>+91-6574152646</t>
  </si>
  <si>
    <t>PID0576</t>
  </si>
  <si>
    <t>+91-9966665364</t>
  </si>
  <si>
    <t>PID0577</t>
  </si>
  <si>
    <t>+91-7243249710</t>
  </si>
  <si>
    <t>PID0578</t>
  </si>
  <si>
    <t>+91-9478719374</t>
  </si>
  <si>
    <t>PID0579</t>
  </si>
  <si>
    <t>Vihaan Bhatt</t>
  </si>
  <si>
    <t>+91-6390564700</t>
  </si>
  <si>
    <t>PID0580</t>
  </si>
  <si>
    <t>+91-7507638799</t>
  </si>
  <si>
    <t>PID0581</t>
  </si>
  <si>
    <t>+91-7083461525</t>
  </si>
  <si>
    <t>PID0582</t>
  </si>
  <si>
    <t>+91-7649479425</t>
  </si>
  <si>
    <t>PID0583</t>
  </si>
  <si>
    <t>+91-9095681282</t>
  </si>
  <si>
    <t>PID0584</t>
  </si>
  <si>
    <t>Arjun Patel</t>
  </si>
  <si>
    <t>+91-8164102717</t>
  </si>
  <si>
    <t>PID0585</t>
  </si>
  <si>
    <t>Aarav Joshi</t>
  </si>
  <si>
    <t>+91-8415913029</t>
  </si>
  <si>
    <t>PID0586</t>
  </si>
  <si>
    <t>+91-6946337325</t>
  </si>
  <si>
    <t>PID0587</t>
  </si>
  <si>
    <t>+91-7069481523</t>
  </si>
  <si>
    <t>PID0588</t>
  </si>
  <si>
    <t>+91-6044702838</t>
  </si>
  <si>
    <t>PID0589</t>
  </si>
  <si>
    <t>+91-7154459322</t>
  </si>
  <si>
    <t>PID0590</t>
  </si>
  <si>
    <t>+91-8446662406</t>
  </si>
  <si>
    <t>PID0591</t>
  </si>
  <si>
    <t>+91-7954313872</t>
  </si>
  <si>
    <t>PID0592</t>
  </si>
  <si>
    <t>+91-8694595365</t>
  </si>
  <si>
    <t>PID0593</t>
  </si>
  <si>
    <t>+91-6239983474</t>
  </si>
  <si>
    <t>PID0594</t>
  </si>
  <si>
    <t>+91-7655207639</t>
  </si>
  <si>
    <t>PID0595</t>
  </si>
  <si>
    <t>+91-9965627504</t>
  </si>
  <si>
    <t>PID0596</t>
  </si>
  <si>
    <t>+91-6446344020</t>
  </si>
  <si>
    <t>PID0597</t>
  </si>
  <si>
    <t>Ishaan Trivedi</t>
  </si>
  <si>
    <t>+91-8481816261</t>
  </si>
  <si>
    <t>PID0598</t>
  </si>
  <si>
    <t>+91-8808711981</t>
  </si>
  <si>
    <t>PID0599</t>
  </si>
  <si>
    <t>+91-6012309827</t>
  </si>
  <si>
    <t>PID0600</t>
  </si>
  <si>
    <t>+91-9555467593</t>
  </si>
  <si>
    <t>PID0601</t>
  </si>
  <si>
    <t>+91-7568711995</t>
  </si>
  <si>
    <t>PID0602</t>
  </si>
  <si>
    <t>+91-8769597436</t>
  </si>
  <si>
    <t>PID0603</t>
  </si>
  <si>
    <t>+91-7819649893</t>
  </si>
  <si>
    <t>PID0604</t>
  </si>
  <si>
    <t>+91-8803324932</t>
  </si>
  <si>
    <t>PID0605</t>
  </si>
  <si>
    <t>+91-8326016489</t>
  </si>
  <si>
    <t>PID0606</t>
  </si>
  <si>
    <t>+91-7351112065</t>
  </si>
  <si>
    <t>PID0607</t>
  </si>
  <si>
    <t>+91-6433804094</t>
  </si>
  <si>
    <t>PID0608</t>
  </si>
  <si>
    <t>+91-8154441133</t>
  </si>
  <si>
    <t>PID0609</t>
  </si>
  <si>
    <t>+91-8696335973</t>
  </si>
  <si>
    <t>PID0610</t>
  </si>
  <si>
    <t>+91-6305517870</t>
  </si>
  <si>
    <t>PID0611</t>
  </si>
  <si>
    <t>+91-8201081617</t>
  </si>
  <si>
    <t>PID0612</t>
  </si>
  <si>
    <t>+91-6679488767</t>
  </si>
  <si>
    <t>PID0613</t>
  </si>
  <si>
    <t>+91-9940462185</t>
  </si>
  <si>
    <t>PID0614</t>
  </si>
  <si>
    <t>+91-6668902988</t>
  </si>
  <si>
    <t>PID0615</t>
  </si>
  <si>
    <t>+91-8936346468</t>
  </si>
  <si>
    <t>PID0616</t>
  </si>
  <si>
    <t>+91-6790610226</t>
  </si>
  <si>
    <t>PID0617</t>
  </si>
  <si>
    <t>+91-9363270219</t>
  </si>
  <si>
    <t>PID0618</t>
  </si>
  <si>
    <t>Riya Singh</t>
  </si>
  <si>
    <t>+91-9102194933</t>
  </si>
  <si>
    <t>PID0619</t>
  </si>
  <si>
    <t>+91-8918981060</t>
  </si>
  <si>
    <t>PID0620</t>
  </si>
  <si>
    <t>+91-8329878086</t>
  </si>
  <si>
    <t>PID0621</t>
  </si>
  <si>
    <t>Sneha Bhatt</t>
  </si>
  <si>
    <t>+91-8921788232</t>
  </si>
  <si>
    <t>PID0622</t>
  </si>
  <si>
    <t>+91-9461188083</t>
  </si>
  <si>
    <t>PID0623</t>
  </si>
  <si>
    <t>+91-9359506482</t>
  </si>
  <si>
    <t>PID0624</t>
  </si>
  <si>
    <t>Krishna Bhatt</t>
  </si>
  <si>
    <t>+91-9183624872</t>
  </si>
  <si>
    <t>PID0625</t>
  </si>
  <si>
    <t>+91-7731382986</t>
  </si>
  <si>
    <t>PID0626</t>
  </si>
  <si>
    <t>+91-6110123941</t>
  </si>
  <si>
    <t>PID0627</t>
  </si>
  <si>
    <t>+91-8299599426</t>
  </si>
  <si>
    <t>PID0628</t>
  </si>
  <si>
    <t>+91-9842298310</t>
  </si>
  <si>
    <t>PID0629</t>
  </si>
  <si>
    <t>+91-7803487332</t>
  </si>
  <si>
    <t>PID0630</t>
  </si>
  <si>
    <t>Kavya Reddy</t>
  </si>
  <si>
    <t>+91-8637131382</t>
  </si>
  <si>
    <t>PID0631</t>
  </si>
  <si>
    <t>Riya Mishra</t>
  </si>
  <si>
    <t>+91-6126691301</t>
  </si>
  <si>
    <t>PID0632</t>
  </si>
  <si>
    <t>+91-7717738450</t>
  </si>
  <si>
    <t>PID0633</t>
  </si>
  <si>
    <t>+91-6461962857</t>
  </si>
  <si>
    <t>PID0634</t>
  </si>
  <si>
    <t>+91-6492417800</t>
  </si>
  <si>
    <t>PID0635</t>
  </si>
  <si>
    <t>+91-9078643818</t>
  </si>
  <si>
    <t>PID0636</t>
  </si>
  <si>
    <t>+91-7811403045</t>
  </si>
  <si>
    <t>PID0637</t>
  </si>
  <si>
    <t>+91-7015424386</t>
  </si>
  <si>
    <t>PID0638</t>
  </si>
  <si>
    <t>+91-6408536494</t>
  </si>
  <si>
    <t>PID0639</t>
  </si>
  <si>
    <t>+91-6441280475</t>
  </si>
  <si>
    <t>PID0640</t>
  </si>
  <si>
    <t>+91-6185010792</t>
  </si>
  <si>
    <t>PID0641</t>
  </si>
  <si>
    <t>+91-8508820533</t>
  </si>
  <si>
    <t>PID0642</t>
  </si>
  <si>
    <t>+91-7516165099</t>
  </si>
  <si>
    <t>PID0643</t>
  </si>
  <si>
    <t>+91-6896194129</t>
  </si>
  <si>
    <t>PID0644</t>
  </si>
  <si>
    <t>+91-6294803584</t>
  </si>
  <si>
    <t>PID0645</t>
  </si>
  <si>
    <t>+91-8280135461</t>
  </si>
  <si>
    <t>PID0646</t>
  </si>
  <si>
    <t>+91-6420102358</t>
  </si>
  <si>
    <t>PID0647</t>
  </si>
  <si>
    <t>+91-6477096961</t>
  </si>
  <si>
    <t>PID0648</t>
  </si>
  <si>
    <t>+91-9539347914</t>
  </si>
  <si>
    <t>PID0649</t>
  </si>
  <si>
    <t>+91-6731143355</t>
  </si>
  <si>
    <t>PID0650</t>
  </si>
  <si>
    <t>+91-9265295069</t>
  </si>
  <si>
    <t>PID0651</t>
  </si>
  <si>
    <t>+91-6403340801</t>
  </si>
  <si>
    <t>PID0652</t>
  </si>
  <si>
    <t>+91-7433397518</t>
  </si>
  <si>
    <t>PID0653</t>
  </si>
  <si>
    <t>+91-8988464377</t>
  </si>
  <si>
    <t>PID0654</t>
  </si>
  <si>
    <t>+91-8530370695</t>
  </si>
  <si>
    <t>PID0655</t>
  </si>
  <si>
    <t>+91-8002818294</t>
  </si>
  <si>
    <t>PID0656</t>
  </si>
  <si>
    <t>+91-7313493359</t>
  </si>
  <si>
    <t>PID0657</t>
  </si>
  <si>
    <t>Aarav Chauhan</t>
  </si>
  <si>
    <t>+91-6844937806</t>
  </si>
  <si>
    <t>PID0658</t>
  </si>
  <si>
    <t>+91-8564262105</t>
  </si>
  <si>
    <t>PID0659</t>
  </si>
  <si>
    <t>+91-7980642986</t>
  </si>
  <si>
    <t>PID0660</t>
  </si>
  <si>
    <t>+91-7762047368</t>
  </si>
  <si>
    <t>PID0661</t>
  </si>
  <si>
    <t>+91-9629708388</t>
  </si>
  <si>
    <t>PID0662</t>
  </si>
  <si>
    <t>+91-8966073929</t>
  </si>
  <si>
    <t>PID0663</t>
  </si>
  <si>
    <t>+91-9460097998</t>
  </si>
  <si>
    <t>PID0664</t>
  </si>
  <si>
    <t>Neha Soni</t>
  </si>
  <si>
    <t>+91-9977330607</t>
  </si>
  <si>
    <t>PID0665</t>
  </si>
  <si>
    <t>+91-6793743692</t>
  </si>
  <si>
    <t>PID0666</t>
  </si>
  <si>
    <t>+91-6461003924</t>
  </si>
  <si>
    <t>PID0667</t>
  </si>
  <si>
    <t>+91-6598304077</t>
  </si>
  <si>
    <t>PID0668</t>
  </si>
  <si>
    <t>+91-9088979586</t>
  </si>
  <si>
    <t>PID0669</t>
  </si>
  <si>
    <t>Meera Reddy</t>
  </si>
  <si>
    <t>+91-9983205279</t>
  </si>
  <si>
    <t>PID0670</t>
  </si>
  <si>
    <t>Diya Bhatt</t>
  </si>
  <si>
    <t>+91-8046178280</t>
  </si>
  <si>
    <t>PID0671</t>
  </si>
  <si>
    <t>+91-9610690336</t>
  </si>
  <si>
    <t>PID0672</t>
  </si>
  <si>
    <t>+91-8270016678</t>
  </si>
  <si>
    <t>PID0673</t>
  </si>
  <si>
    <t>+91-9912665808</t>
  </si>
  <si>
    <t>PID0674</t>
  </si>
  <si>
    <t>+91-8221558385</t>
  </si>
  <si>
    <t>PID0675</t>
  </si>
  <si>
    <t>Rohan Gupta</t>
  </si>
  <si>
    <t>+91-8295332770</t>
  </si>
  <si>
    <t>PID0676</t>
  </si>
  <si>
    <t>+91-7436843691</t>
  </si>
  <si>
    <t>PID0677</t>
  </si>
  <si>
    <t>+91-8630378189</t>
  </si>
  <si>
    <t>PID0678</t>
  </si>
  <si>
    <t>+91-9999673414</t>
  </si>
  <si>
    <t>PID0679</t>
  </si>
  <si>
    <t>Vivaan Sharma</t>
  </si>
  <si>
    <t>+91-6506774170</t>
  </si>
  <si>
    <t>PID0680</t>
  </si>
  <si>
    <t>Riya Nair</t>
  </si>
  <si>
    <t>+91-9091632789</t>
  </si>
  <si>
    <t>PID0681</t>
  </si>
  <si>
    <t>+91-6525602454</t>
  </si>
  <si>
    <t>PID0682</t>
  </si>
  <si>
    <t>+91-8325377663</t>
  </si>
  <si>
    <t>PID0683</t>
  </si>
  <si>
    <t>Diya Gupta</t>
  </si>
  <si>
    <t>+91-9384176787</t>
  </si>
  <si>
    <t>PID0684</t>
  </si>
  <si>
    <t>+91-9670368414</t>
  </si>
  <si>
    <t>PID0685</t>
  </si>
  <si>
    <t>+91-9277044196</t>
  </si>
  <si>
    <t>PID0686</t>
  </si>
  <si>
    <t>+91-9097947126</t>
  </si>
  <si>
    <t>PID0687</t>
  </si>
  <si>
    <t>+91-7449690416</t>
  </si>
  <si>
    <t>PID0688</t>
  </si>
  <si>
    <t>+91-6074159865</t>
  </si>
  <si>
    <t>PID0689</t>
  </si>
  <si>
    <t>+91-9289845437</t>
  </si>
  <si>
    <t>PID0690</t>
  </si>
  <si>
    <t>Ishaan Desai</t>
  </si>
  <si>
    <t>+91-9081027848</t>
  </si>
  <si>
    <t>PID0691</t>
  </si>
  <si>
    <t>+91-7399253304</t>
  </si>
  <si>
    <t>PID0692</t>
  </si>
  <si>
    <t>+91-6688538322</t>
  </si>
  <si>
    <t>PID0693</t>
  </si>
  <si>
    <t>+91-6644565869</t>
  </si>
  <si>
    <t>PID0694</t>
  </si>
  <si>
    <t>Kavya Verma</t>
  </si>
  <si>
    <t>+91-8470653046</t>
  </si>
  <si>
    <t>PID0695</t>
  </si>
  <si>
    <t>+91-8171722069</t>
  </si>
  <si>
    <t>PID0696</t>
  </si>
  <si>
    <t>+91-9418175282</t>
  </si>
  <si>
    <t>PID0697</t>
  </si>
  <si>
    <t>+91-7797983271</t>
  </si>
  <si>
    <t>PID0698</t>
  </si>
  <si>
    <t>Ishaan Mishra</t>
  </si>
  <si>
    <t>+91-8993285955</t>
  </si>
  <si>
    <t>PID0699</t>
  </si>
  <si>
    <t>+91-8049154876</t>
  </si>
  <si>
    <t>PID0700</t>
  </si>
  <si>
    <t>Arjun Joshi</t>
  </si>
  <si>
    <t>+91-8118679324</t>
  </si>
  <si>
    <t>PID0701</t>
  </si>
  <si>
    <t>+91-7350197673</t>
  </si>
  <si>
    <t>PID0702</t>
  </si>
  <si>
    <t>+91-6888384398</t>
  </si>
  <si>
    <t>PID0703</t>
  </si>
  <si>
    <t>+91-8237222263</t>
  </si>
  <si>
    <t>PID0704</t>
  </si>
  <si>
    <t>+91-6955380139</t>
  </si>
  <si>
    <t>PID0705</t>
  </si>
  <si>
    <t>+91-8397323135</t>
  </si>
  <si>
    <t>PID0706</t>
  </si>
  <si>
    <t>+91-6381013882</t>
  </si>
  <si>
    <t>PID0707</t>
  </si>
  <si>
    <t>+91-8079765165</t>
  </si>
  <si>
    <t>PID0708</t>
  </si>
  <si>
    <t>Diya Joshi</t>
  </si>
  <si>
    <t>+91-7920593054</t>
  </si>
  <si>
    <t>PID0709</t>
  </si>
  <si>
    <t>+91-7769539050</t>
  </si>
  <si>
    <t>PID0710</t>
  </si>
  <si>
    <t>+91-7152413759</t>
  </si>
  <si>
    <t>PID0711</t>
  </si>
  <si>
    <t>+91-9446337072</t>
  </si>
  <si>
    <t>PID0712</t>
  </si>
  <si>
    <t>+91-6693225639</t>
  </si>
  <si>
    <t>PID0713</t>
  </si>
  <si>
    <t>+91-6104128742</t>
  </si>
  <si>
    <t>PID0714</t>
  </si>
  <si>
    <t>+91-9189665980</t>
  </si>
  <si>
    <t>PID0715</t>
  </si>
  <si>
    <t>+91-8474765235</t>
  </si>
  <si>
    <t>PID0716</t>
  </si>
  <si>
    <t>+91-7690693165</t>
  </si>
  <si>
    <t>PID0717</t>
  </si>
  <si>
    <t>+91-6409692785</t>
  </si>
  <si>
    <t>PID0718</t>
  </si>
  <si>
    <t>+91-7337688858</t>
  </si>
  <si>
    <t>PID0719</t>
  </si>
  <si>
    <t>+91-9044565623</t>
  </si>
  <si>
    <t>PID0720</t>
  </si>
  <si>
    <t>+91-6488185700</t>
  </si>
  <si>
    <t>PID0721</t>
  </si>
  <si>
    <t>+91-8641836466</t>
  </si>
  <si>
    <t>PID0722</t>
  </si>
  <si>
    <t>+91-9981776543</t>
  </si>
  <si>
    <t>PID0723</t>
  </si>
  <si>
    <t>+91-7421785056</t>
  </si>
  <si>
    <t>PID0724</t>
  </si>
  <si>
    <t>+91-7313187638</t>
  </si>
  <si>
    <t>PID0725</t>
  </si>
  <si>
    <t>+91-9315623169</t>
  </si>
  <si>
    <t>PID0726</t>
  </si>
  <si>
    <t>+91-9848090287</t>
  </si>
  <si>
    <t>PID0727</t>
  </si>
  <si>
    <t>+91-7524677466</t>
  </si>
  <si>
    <t>PID0728</t>
  </si>
  <si>
    <t>Rohan Bhatt</t>
  </si>
  <si>
    <t>+91-8800714355</t>
  </si>
  <si>
    <t>PID0729</t>
  </si>
  <si>
    <t>+91-7550446153</t>
  </si>
  <si>
    <t>PID0730</t>
  </si>
  <si>
    <t>+91-8987145791</t>
  </si>
  <si>
    <t>PID0731</t>
  </si>
  <si>
    <t>+91-6657953558</t>
  </si>
  <si>
    <t>PID0732</t>
  </si>
  <si>
    <t>Sai Mehta</t>
  </si>
  <si>
    <t>+91-9890058149</t>
  </si>
  <si>
    <t>PID0733</t>
  </si>
  <si>
    <t>+91-8613612286</t>
  </si>
  <si>
    <t>PID0734</t>
  </si>
  <si>
    <t>+91-9133395031</t>
  </si>
  <si>
    <t>PID0735</t>
  </si>
  <si>
    <t>+91-7232984424</t>
  </si>
  <si>
    <t>PID0736</t>
  </si>
  <si>
    <t>+91-8485481104</t>
  </si>
  <si>
    <t>PID0737</t>
  </si>
  <si>
    <t>Ananya Nair</t>
  </si>
  <si>
    <t>+91-9004990281</t>
  </si>
  <si>
    <t>PID0738</t>
  </si>
  <si>
    <t>Diya Mishra</t>
  </si>
  <si>
    <t>+91-7598942237</t>
  </si>
  <si>
    <t>PID0739</t>
  </si>
  <si>
    <t>+91-8005067839</t>
  </si>
  <si>
    <t>PID0740</t>
  </si>
  <si>
    <t>+91-9989979648</t>
  </si>
  <si>
    <t>PID0741</t>
  </si>
  <si>
    <t>+91-6599359286</t>
  </si>
  <si>
    <t>PID0742</t>
  </si>
  <si>
    <t>+91-6792823740</t>
  </si>
  <si>
    <t>PID0743</t>
  </si>
  <si>
    <t>Krishna Singh</t>
  </si>
  <si>
    <t>+91-9920588072</t>
  </si>
  <si>
    <t>PID0744</t>
  </si>
  <si>
    <t>+91-7489783227</t>
  </si>
  <si>
    <t>PID0745</t>
  </si>
  <si>
    <t>+91-6807327369</t>
  </si>
  <si>
    <t>PID0746</t>
  </si>
  <si>
    <t>+91-6702411305</t>
  </si>
  <si>
    <t>PID0747</t>
  </si>
  <si>
    <t>+91-6049772921</t>
  </si>
  <si>
    <t>PID0748</t>
  </si>
  <si>
    <t>+91-6479628187</t>
  </si>
  <si>
    <t>PID0749</t>
  </si>
  <si>
    <t>+91-6171130607</t>
  </si>
  <si>
    <t>PID0750</t>
  </si>
  <si>
    <t>+91-6075243493</t>
  </si>
  <si>
    <t>PID0751</t>
  </si>
  <si>
    <t>+91-7851562727</t>
  </si>
  <si>
    <t>PID0752</t>
  </si>
  <si>
    <t>+91-9218077253</t>
  </si>
  <si>
    <t>PID0753</t>
  </si>
  <si>
    <t>+91-6209728496</t>
  </si>
  <si>
    <t>PID0754</t>
  </si>
  <si>
    <t>+91-7748836777</t>
  </si>
  <si>
    <t>PID0755</t>
  </si>
  <si>
    <t>+91-8616992957</t>
  </si>
  <si>
    <t>PID0756</t>
  </si>
  <si>
    <t>Pooja Kumar</t>
  </si>
  <si>
    <t>+91-8996707622</t>
  </si>
  <si>
    <t>PID0757</t>
  </si>
  <si>
    <t>+91-8007382296</t>
  </si>
  <si>
    <t>PID0758</t>
  </si>
  <si>
    <t>+91-9649297119</t>
  </si>
  <si>
    <t>PID0759</t>
  </si>
  <si>
    <t>+91-7197779286</t>
  </si>
  <si>
    <t>PID0760</t>
  </si>
  <si>
    <t>+91-6014333944</t>
  </si>
  <si>
    <t>PID0761</t>
  </si>
  <si>
    <t>Aisha Reddy</t>
  </si>
  <si>
    <t>+91-9144551686</t>
  </si>
  <si>
    <t>PID0762</t>
  </si>
  <si>
    <t>+91-9105519507</t>
  </si>
  <si>
    <t>PID0763</t>
  </si>
  <si>
    <t>+91-6759684754</t>
  </si>
  <si>
    <t>PID0764</t>
  </si>
  <si>
    <t>+91-7791386226</t>
  </si>
  <si>
    <t>PID0765</t>
  </si>
  <si>
    <t>+91-9638139608</t>
  </si>
  <si>
    <t>PID0766</t>
  </si>
  <si>
    <t>+91-8111306841</t>
  </si>
  <si>
    <t>PID0767</t>
  </si>
  <si>
    <t>+91-9780303930</t>
  </si>
  <si>
    <t>PID0768</t>
  </si>
  <si>
    <t>+91-7255560144</t>
  </si>
  <si>
    <t>PID0769</t>
  </si>
  <si>
    <t>+91-6669486010</t>
  </si>
  <si>
    <t>PID0770</t>
  </si>
  <si>
    <t>+91-6963404085</t>
  </si>
  <si>
    <t>PID0771</t>
  </si>
  <si>
    <t>+91-6424514631</t>
  </si>
  <si>
    <t>PID0772</t>
  </si>
  <si>
    <t>+91-8616226535</t>
  </si>
  <si>
    <t>PID0773</t>
  </si>
  <si>
    <t>+91-6219398971</t>
  </si>
  <si>
    <t>PID0774</t>
  </si>
  <si>
    <t>+91-9698564284</t>
  </si>
  <si>
    <t>PID0775</t>
  </si>
  <si>
    <t>+91-8771454944</t>
  </si>
  <si>
    <t>PID0776</t>
  </si>
  <si>
    <t>+91-8129392953</t>
  </si>
  <si>
    <t>PID0777</t>
  </si>
  <si>
    <t>+91-8155127277</t>
  </si>
  <si>
    <t>PID0778</t>
  </si>
  <si>
    <t>+91-8034848987</t>
  </si>
  <si>
    <t>PID0779</t>
  </si>
  <si>
    <t>+91-9275751159</t>
  </si>
  <si>
    <t>PID0780</t>
  </si>
  <si>
    <t>+91-7604063728</t>
  </si>
  <si>
    <t>PID0781</t>
  </si>
  <si>
    <t>Aarav Reddy</t>
  </si>
  <si>
    <t>+91-8018083839</t>
  </si>
  <si>
    <t>PID0782</t>
  </si>
  <si>
    <t>+91-6576748520</t>
  </si>
  <si>
    <t>PID0783</t>
  </si>
  <si>
    <t>+91-6603303590</t>
  </si>
  <si>
    <t>PID0784</t>
  </si>
  <si>
    <t>+91-8758400812</t>
  </si>
  <si>
    <t>PID0785</t>
  </si>
  <si>
    <t>+91-7433456380</t>
  </si>
  <si>
    <t>PID0786</t>
  </si>
  <si>
    <t>+91-7938269696</t>
  </si>
  <si>
    <t>PID0787</t>
  </si>
  <si>
    <t>+91-6967355230</t>
  </si>
  <si>
    <t>PID0788</t>
  </si>
  <si>
    <t>Priya Chauhan</t>
  </si>
  <si>
    <t>+91-6779909040</t>
  </si>
  <si>
    <t>PID0789</t>
  </si>
  <si>
    <t>+91-7000636542</t>
  </si>
  <si>
    <t>PID0790</t>
  </si>
  <si>
    <t>+91-9311349921</t>
  </si>
  <si>
    <t>PID0791</t>
  </si>
  <si>
    <t>+91-8177162664</t>
  </si>
  <si>
    <t>PID0792</t>
  </si>
  <si>
    <t>+91-8800326574</t>
  </si>
  <si>
    <t>PID0793</t>
  </si>
  <si>
    <t>+91-8017830180</t>
  </si>
  <si>
    <t>PID0794</t>
  </si>
  <si>
    <t>+91-8136984143</t>
  </si>
  <si>
    <t>PID0795</t>
  </si>
  <si>
    <t>+91-8255736583</t>
  </si>
  <si>
    <t>PID0796</t>
  </si>
  <si>
    <t>+91-8016431212</t>
  </si>
  <si>
    <t>PID0797</t>
  </si>
  <si>
    <t>+91-9080642880</t>
  </si>
  <si>
    <t>PID0798</t>
  </si>
  <si>
    <t>+91-7609627883</t>
  </si>
  <si>
    <t>PID0799</t>
  </si>
  <si>
    <t>+91-8078097843</t>
  </si>
  <si>
    <t>PID0800</t>
  </si>
  <si>
    <t>Ananya Singh</t>
  </si>
  <si>
    <t>+91-9465989214</t>
  </si>
  <si>
    <t>PID0801</t>
  </si>
  <si>
    <t>Neha Mishra</t>
  </si>
  <si>
    <t>+91-8364228175</t>
  </si>
  <si>
    <t>PID0802</t>
  </si>
  <si>
    <t>+91-9149981933</t>
  </si>
  <si>
    <t>PID0803</t>
  </si>
  <si>
    <t>+91-9689122697</t>
  </si>
  <si>
    <t>PID0804</t>
  </si>
  <si>
    <t>+91-6001518755</t>
  </si>
  <si>
    <t>PID0805</t>
  </si>
  <si>
    <t>+91-7679330782</t>
  </si>
  <si>
    <t>PID0806</t>
  </si>
  <si>
    <t>+91-9266685979</t>
  </si>
  <si>
    <t>PID0807</t>
  </si>
  <si>
    <t>+91-9759107746</t>
  </si>
  <si>
    <t>PID0808</t>
  </si>
  <si>
    <t>+91-8591222771</t>
  </si>
  <si>
    <t>PID0809</t>
  </si>
  <si>
    <t>+91-6055517225</t>
  </si>
  <si>
    <t>PID0810</t>
  </si>
  <si>
    <t>+91-6462987491</t>
  </si>
  <si>
    <t>PID0811</t>
  </si>
  <si>
    <t>+91-9458396111</t>
  </si>
  <si>
    <t>PID0812</t>
  </si>
  <si>
    <t>+91-7188127446</t>
  </si>
  <si>
    <t>PID0813</t>
  </si>
  <si>
    <t>+91-8647429552</t>
  </si>
  <si>
    <t>PID0814</t>
  </si>
  <si>
    <t>+91-9461303398</t>
  </si>
  <si>
    <t>PID0815</t>
  </si>
  <si>
    <t>+91-8987734263</t>
  </si>
  <si>
    <t>PID0816</t>
  </si>
  <si>
    <t>+91-6353096152</t>
  </si>
  <si>
    <t>PID0817</t>
  </si>
  <si>
    <t>+91-7274716830</t>
  </si>
  <si>
    <t>PID0818</t>
  </si>
  <si>
    <t>+91-7563234619</t>
  </si>
  <si>
    <t>PID0819</t>
  </si>
  <si>
    <t>+91-6450145299</t>
  </si>
  <si>
    <t>PID0820</t>
  </si>
  <si>
    <t>+91-7926156575</t>
  </si>
  <si>
    <t>PID0821</t>
  </si>
  <si>
    <t>+91-8842412897</t>
  </si>
  <si>
    <t>PID0822</t>
  </si>
  <si>
    <t>+91-9058505100</t>
  </si>
  <si>
    <t>PID0823</t>
  </si>
  <si>
    <t>+91-6404420250</t>
  </si>
  <si>
    <t>PID0824</t>
  </si>
  <si>
    <t>+91-7118862897</t>
  </si>
  <si>
    <t>PID0825</t>
  </si>
  <si>
    <t>+91-6007425551</t>
  </si>
  <si>
    <t>PID0826</t>
  </si>
  <si>
    <t>+91-9745628501</t>
  </si>
  <si>
    <t>PID0827</t>
  </si>
  <si>
    <t>+91-6462889778</t>
  </si>
  <si>
    <t>PID0828</t>
  </si>
  <si>
    <t>+91-8381395514</t>
  </si>
  <si>
    <t>PID0829</t>
  </si>
  <si>
    <t>+91-8849764904</t>
  </si>
  <si>
    <t>PID0830</t>
  </si>
  <si>
    <t>+91-6102366896</t>
  </si>
  <si>
    <t>PID0831</t>
  </si>
  <si>
    <t>+91-9211997222</t>
  </si>
  <si>
    <t>PID0832</t>
  </si>
  <si>
    <t>Meera Mishra</t>
  </si>
  <si>
    <t>+91-8925445628</t>
  </si>
  <si>
    <t>PID0833</t>
  </si>
  <si>
    <t>+91-6499637931</t>
  </si>
  <si>
    <t>PID0834</t>
  </si>
  <si>
    <t>+91-7108897389</t>
  </si>
  <si>
    <t>PID0835</t>
  </si>
  <si>
    <t>+91-6044795237</t>
  </si>
  <si>
    <t>PID0836</t>
  </si>
  <si>
    <t>+91-9996979534</t>
  </si>
  <si>
    <t>PID0837</t>
  </si>
  <si>
    <t>+91-8014154934</t>
  </si>
  <si>
    <t>PID0838</t>
  </si>
  <si>
    <t>+91-9303373458</t>
  </si>
  <si>
    <t>PID0839</t>
  </si>
  <si>
    <t>+91-6657548812</t>
  </si>
  <si>
    <t>PID0840</t>
  </si>
  <si>
    <t>+91-7363882153</t>
  </si>
  <si>
    <t>PID0841</t>
  </si>
  <si>
    <t>Vivaan Gupta</t>
  </si>
  <si>
    <t>+91-9494840945</t>
  </si>
  <si>
    <t>PID0842</t>
  </si>
  <si>
    <t>+91-8631133489</t>
  </si>
  <si>
    <t>PID0843</t>
  </si>
  <si>
    <t>+91-9178299775</t>
  </si>
  <si>
    <t>PID0844</t>
  </si>
  <si>
    <t>+91-9150140731</t>
  </si>
  <si>
    <t>PID0845</t>
  </si>
  <si>
    <t>+91-9752109786</t>
  </si>
  <si>
    <t>PID0846</t>
  </si>
  <si>
    <t>+91-6932772992</t>
  </si>
  <si>
    <t>PID0847</t>
  </si>
  <si>
    <t>+91-8469903156</t>
  </si>
  <si>
    <t>PID0848</t>
  </si>
  <si>
    <t>+91-6037231689</t>
  </si>
  <si>
    <t>PID0849</t>
  </si>
  <si>
    <t>+91-9021952801</t>
  </si>
  <si>
    <t>PID0850</t>
  </si>
  <si>
    <t>+91-9881154133</t>
  </si>
  <si>
    <t>PID0851</t>
  </si>
  <si>
    <t>+91-9513075817</t>
  </si>
  <si>
    <t>PID0852</t>
  </si>
  <si>
    <t>Ananya Pandya</t>
  </si>
  <si>
    <t>+91-9937471439</t>
  </si>
  <si>
    <t>PID0853</t>
  </si>
  <si>
    <t>+91-7203646699</t>
  </si>
  <si>
    <t>PID0854</t>
  </si>
  <si>
    <t>+91-7429875629</t>
  </si>
  <si>
    <t>PID0855</t>
  </si>
  <si>
    <t>+91-9449485925</t>
  </si>
  <si>
    <t>PID0856</t>
  </si>
  <si>
    <t>+91-6098816263</t>
  </si>
  <si>
    <t>PID0857</t>
  </si>
  <si>
    <t>+91-7465162819</t>
  </si>
  <si>
    <t>PID0858</t>
  </si>
  <si>
    <t>+91-9399864874</t>
  </si>
  <si>
    <t>PID0859</t>
  </si>
  <si>
    <t>+91-8541813403</t>
  </si>
  <si>
    <t>PID0860</t>
  </si>
  <si>
    <t>Vivaan Pandya</t>
  </si>
  <si>
    <t>+91-6978030819</t>
  </si>
  <si>
    <t>PID0861</t>
  </si>
  <si>
    <t>+91-6692624346</t>
  </si>
  <si>
    <t>PID0862</t>
  </si>
  <si>
    <t>+91-8600632148</t>
  </si>
  <si>
    <t>PID0863</t>
  </si>
  <si>
    <t>+91-7515672326</t>
  </si>
  <si>
    <t>PID0864</t>
  </si>
  <si>
    <t>+91-8715248432</t>
  </si>
  <si>
    <t>PID0865</t>
  </si>
  <si>
    <t>+91-8135983591</t>
  </si>
  <si>
    <t>PID0866</t>
  </si>
  <si>
    <t>+91-8047411996</t>
  </si>
  <si>
    <t>PID0867</t>
  </si>
  <si>
    <t>+91-8573182872</t>
  </si>
  <si>
    <t>PID0868</t>
  </si>
  <si>
    <t>+91-9909047839</t>
  </si>
  <si>
    <t>PID0869</t>
  </si>
  <si>
    <t>+91-8017571805</t>
  </si>
  <si>
    <t>PID0870</t>
  </si>
  <si>
    <t>+91-9306891554</t>
  </si>
  <si>
    <t>PID0871</t>
  </si>
  <si>
    <t>+91-7349342488</t>
  </si>
  <si>
    <t>PID0872</t>
  </si>
  <si>
    <t>+91-6877204248</t>
  </si>
  <si>
    <t>PID0873</t>
  </si>
  <si>
    <t>+91-7174897125</t>
  </si>
  <si>
    <t>PID0874</t>
  </si>
  <si>
    <t>+91-9094529283</t>
  </si>
  <si>
    <t>PID0875</t>
  </si>
  <si>
    <t>+91-9104302155</t>
  </si>
  <si>
    <t>PID0876</t>
  </si>
  <si>
    <t>+91-9224879193</t>
  </si>
  <si>
    <t>PID0877</t>
  </si>
  <si>
    <t>+91-6242726537</t>
  </si>
  <si>
    <t>PID0878</t>
  </si>
  <si>
    <t>+91-7699985771</t>
  </si>
  <si>
    <t>PID0879</t>
  </si>
  <si>
    <t>Aarav Bhatt</t>
  </si>
  <si>
    <t>+91-9014312032</t>
  </si>
  <si>
    <t>PID0880</t>
  </si>
  <si>
    <t>+91-6865804917</t>
  </si>
  <si>
    <t>PID0881</t>
  </si>
  <si>
    <t>+91-7664093921</t>
  </si>
  <si>
    <t>PID0882</t>
  </si>
  <si>
    <t>+91-6929532075</t>
  </si>
  <si>
    <t>PID0883</t>
  </si>
  <si>
    <t>+91-6460685009</t>
  </si>
  <si>
    <t>PID0884</t>
  </si>
  <si>
    <t>+91-7817482687</t>
  </si>
  <si>
    <t>PID0885</t>
  </si>
  <si>
    <t>+91-6061607195</t>
  </si>
  <si>
    <t>PID0886</t>
  </si>
  <si>
    <t>+91-8136417395</t>
  </si>
  <si>
    <t>PID0887</t>
  </si>
  <si>
    <t>+91-8962132436</t>
  </si>
  <si>
    <t>PID0888</t>
  </si>
  <si>
    <t>+91-7603171551</t>
  </si>
  <si>
    <t>PID0889</t>
  </si>
  <si>
    <t>+91-7751598399</t>
  </si>
  <si>
    <t>PID0890</t>
  </si>
  <si>
    <t>+91-8320188761</t>
  </si>
  <si>
    <t>PID0891</t>
  </si>
  <si>
    <t>+91-8937803542</t>
  </si>
  <si>
    <t>PID0892</t>
  </si>
  <si>
    <t>+91-8980461775</t>
  </si>
  <si>
    <t>PID0893</t>
  </si>
  <si>
    <t>+91-6133562510</t>
  </si>
  <si>
    <t>PID0894</t>
  </si>
  <si>
    <t>+91-7610251710</t>
  </si>
  <si>
    <t>PID0895</t>
  </si>
  <si>
    <t>+91-8521681465</t>
  </si>
  <si>
    <t>PID0896</t>
  </si>
  <si>
    <t>+91-9217154801</t>
  </si>
  <si>
    <t>PID0897</t>
  </si>
  <si>
    <t>+91-6296780559</t>
  </si>
  <si>
    <t>PID0898</t>
  </si>
  <si>
    <t>+91-8581792229</t>
  </si>
  <si>
    <t>PID0899</t>
  </si>
  <si>
    <t>+91-7460591282</t>
  </si>
  <si>
    <t>PID0900</t>
  </si>
  <si>
    <t>+91-6088208330</t>
  </si>
  <si>
    <t>PID0901</t>
  </si>
  <si>
    <t>+91-8038501087</t>
  </si>
  <si>
    <t>PID0902</t>
  </si>
  <si>
    <t>+91-9393016268</t>
  </si>
  <si>
    <t>PID0903</t>
  </si>
  <si>
    <t>+91-8860066808</t>
  </si>
  <si>
    <t>PID0904</t>
  </si>
  <si>
    <t>+91-7665835428</t>
  </si>
  <si>
    <t>PID0905</t>
  </si>
  <si>
    <t>+91-7127293439</t>
  </si>
  <si>
    <t>PID0906</t>
  </si>
  <si>
    <t>+91-9395032478</t>
  </si>
  <si>
    <t>PID0907</t>
  </si>
  <si>
    <t>+91-7587081183</t>
  </si>
  <si>
    <t>PID0908</t>
  </si>
  <si>
    <t>+91-6390789157</t>
  </si>
  <si>
    <t>PID0909</t>
  </si>
  <si>
    <t>+91-6823974612</t>
  </si>
  <si>
    <t>PID0910</t>
  </si>
  <si>
    <t>+91-7987240267</t>
  </si>
  <si>
    <t>PID0911</t>
  </si>
  <si>
    <t>+91-8308152430</t>
  </si>
  <si>
    <t>PID0912</t>
  </si>
  <si>
    <t>+91-7806004534</t>
  </si>
  <si>
    <t>PID0913</t>
  </si>
  <si>
    <t>+91-6301850211</t>
  </si>
  <si>
    <t>PID0914</t>
  </si>
  <si>
    <t>+91-7033713891</t>
  </si>
  <si>
    <t>PID0915</t>
  </si>
  <si>
    <t>+91-8453458276</t>
  </si>
  <si>
    <t>PID0916</t>
  </si>
  <si>
    <t>+91-8882617114</t>
  </si>
  <si>
    <t>PID0917</t>
  </si>
  <si>
    <t>+91-7632786090</t>
  </si>
  <si>
    <t>PID0918</t>
  </si>
  <si>
    <t>+91-7601855526</t>
  </si>
  <si>
    <t>PID0919</t>
  </si>
  <si>
    <t>+91-8017402064</t>
  </si>
  <si>
    <t>PID0920</t>
  </si>
  <si>
    <t>+91-7495636685</t>
  </si>
  <si>
    <t>PID0921</t>
  </si>
  <si>
    <t>+91-6206066199</t>
  </si>
  <si>
    <t>PID0922</t>
  </si>
  <si>
    <t>+91-9934030604</t>
  </si>
  <si>
    <t>PID0923</t>
  </si>
  <si>
    <t>Sai Yadav</t>
  </si>
  <si>
    <t>+91-7014665517</t>
  </si>
  <si>
    <t>PID0924</t>
  </si>
  <si>
    <t>Aarav Singh</t>
  </si>
  <si>
    <t>+91-6037565903</t>
  </si>
  <si>
    <t>PID0925</t>
  </si>
  <si>
    <t>+91-7953970297</t>
  </si>
  <si>
    <t>PID0926</t>
  </si>
  <si>
    <t>+91-8780361048</t>
  </si>
  <si>
    <t>PID0927</t>
  </si>
  <si>
    <t>+91-8595859995</t>
  </si>
  <si>
    <t>PID0928</t>
  </si>
  <si>
    <t>+91-7296960465</t>
  </si>
  <si>
    <t>PID0929</t>
  </si>
  <si>
    <t>Kavya Yadav</t>
  </si>
  <si>
    <t>+91-7053838952</t>
  </si>
  <si>
    <t>PID0930</t>
  </si>
  <si>
    <t>+91-9638587042</t>
  </si>
  <si>
    <t>PID0931</t>
  </si>
  <si>
    <t>+91-8708726388</t>
  </si>
  <si>
    <t>PID0932</t>
  </si>
  <si>
    <t>+91-8207491396</t>
  </si>
  <si>
    <t>PID0933</t>
  </si>
  <si>
    <t>Vivaan Mishra</t>
  </si>
  <si>
    <t>+91-7648793017</t>
  </si>
  <si>
    <t>PID0934</t>
  </si>
  <si>
    <t>+91-6284448229</t>
  </si>
  <si>
    <t>PID0935</t>
  </si>
  <si>
    <t>+91-7598227684</t>
  </si>
  <si>
    <t>PID0936</t>
  </si>
  <si>
    <t>Neha Desai</t>
  </si>
  <si>
    <t>+91-7290933796</t>
  </si>
  <si>
    <t>PID0937</t>
  </si>
  <si>
    <t>+91-7717345701</t>
  </si>
  <si>
    <t>PID0938</t>
  </si>
  <si>
    <t>+91-8032267443</t>
  </si>
  <si>
    <t>PID0939</t>
  </si>
  <si>
    <t>+91-8622389887</t>
  </si>
  <si>
    <t>PID0940</t>
  </si>
  <si>
    <t>+91-6652352598</t>
  </si>
  <si>
    <t>PID0941</t>
  </si>
  <si>
    <t>+91-6429373521</t>
  </si>
  <si>
    <t>PID0942</t>
  </si>
  <si>
    <t>Vivaan Kumar</t>
  </si>
  <si>
    <t>+91-6595351227</t>
  </si>
  <si>
    <t>PID0943</t>
  </si>
  <si>
    <t>+91-8185605263</t>
  </si>
  <si>
    <t>PID0944</t>
  </si>
  <si>
    <t>+91-6505595570</t>
  </si>
  <si>
    <t>PID0945</t>
  </si>
  <si>
    <t>+91-8884674801</t>
  </si>
  <si>
    <t>PID0946</t>
  </si>
  <si>
    <t>Aisha Kumar</t>
  </si>
  <si>
    <t>+91-9489741721</t>
  </si>
  <si>
    <t>PID0947</t>
  </si>
  <si>
    <t>+91-6400361105</t>
  </si>
  <si>
    <t>PID0948</t>
  </si>
  <si>
    <t>+91-9436869858</t>
  </si>
  <si>
    <t>PID0949</t>
  </si>
  <si>
    <t>+91-8630511914</t>
  </si>
  <si>
    <t>PID0950</t>
  </si>
  <si>
    <t>+91-8456281720</t>
  </si>
  <si>
    <t>PID0951</t>
  </si>
  <si>
    <t>+91-6174135798</t>
  </si>
  <si>
    <t>PID0952</t>
  </si>
  <si>
    <t>+91-6219883835</t>
  </si>
  <si>
    <t>PID0953</t>
  </si>
  <si>
    <t>+91-8061002426</t>
  </si>
  <si>
    <t>PID0954</t>
  </si>
  <si>
    <t>+91-8970216817</t>
  </si>
  <si>
    <t>PID0955</t>
  </si>
  <si>
    <t>+91-9587119298</t>
  </si>
  <si>
    <t>PID0956</t>
  </si>
  <si>
    <t>+91-9912371306</t>
  </si>
  <si>
    <t>PID0957</t>
  </si>
  <si>
    <t>+91-9250243636</t>
  </si>
  <si>
    <t>PID0958</t>
  </si>
  <si>
    <t>+91-8759634111</t>
  </si>
  <si>
    <t>PID0959</t>
  </si>
  <si>
    <t>+91-7990636931</t>
  </si>
  <si>
    <t>PID0960</t>
  </si>
  <si>
    <t>+91-9687903383</t>
  </si>
  <si>
    <t>PID0961</t>
  </si>
  <si>
    <t>+91-7287717677</t>
  </si>
  <si>
    <t>PID0962</t>
  </si>
  <si>
    <t>+91-7433596339</t>
  </si>
  <si>
    <t>PID0963</t>
  </si>
  <si>
    <t>+91-9231112164</t>
  </si>
  <si>
    <t>PID0964</t>
  </si>
  <si>
    <t>+91-8327719428</t>
  </si>
  <si>
    <t>PID0965</t>
  </si>
  <si>
    <t>Vihaan Desai</t>
  </si>
  <si>
    <t>+91-9531217459</t>
  </si>
  <si>
    <t>PID0966</t>
  </si>
  <si>
    <t>+91-7737402719</t>
  </si>
  <si>
    <t>PID0967</t>
  </si>
  <si>
    <t>+91-8969110738</t>
  </si>
  <si>
    <t>PID0968</t>
  </si>
  <si>
    <t>+91-6012101775</t>
  </si>
  <si>
    <t>PID0969</t>
  </si>
  <si>
    <t>+91-8921928641</t>
  </si>
  <si>
    <t>PID0970</t>
  </si>
  <si>
    <t>+91-6013131418</t>
  </si>
  <si>
    <t>PID0971</t>
  </si>
  <si>
    <t>+91-6059131465</t>
  </si>
  <si>
    <t>PID0972</t>
  </si>
  <si>
    <t>+91-9886114514</t>
  </si>
  <si>
    <t>PID0973</t>
  </si>
  <si>
    <t>+91-8827350430</t>
  </si>
  <si>
    <t>PID0974</t>
  </si>
  <si>
    <t>+91-6640363738</t>
  </si>
  <si>
    <t>PID0975</t>
  </si>
  <si>
    <t>+91-8876924899</t>
  </si>
  <si>
    <t>PID0976</t>
  </si>
  <si>
    <t>+91-8118065477</t>
  </si>
  <si>
    <t>PID0977</t>
  </si>
  <si>
    <t>Krishna Chauhan</t>
  </si>
  <si>
    <t>+91-8356081869</t>
  </si>
  <si>
    <t>PID0978</t>
  </si>
  <si>
    <t>+91-7463786185</t>
  </si>
  <si>
    <t>PID0979</t>
  </si>
  <si>
    <t>+91-6429898519</t>
  </si>
  <si>
    <t>PID0980</t>
  </si>
  <si>
    <t>+91-6091746499</t>
  </si>
  <si>
    <t>PID0981</t>
  </si>
  <si>
    <t>+91-6577737703</t>
  </si>
  <si>
    <t>PID0982</t>
  </si>
  <si>
    <t>+91-8939645886</t>
  </si>
  <si>
    <t>PID0983</t>
  </si>
  <si>
    <t>+91-9559563832</t>
  </si>
  <si>
    <t>PID0984</t>
  </si>
  <si>
    <t>+91-9318111626</t>
  </si>
  <si>
    <t>PID0985</t>
  </si>
  <si>
    <t>+91-6995575263</t>
  </si>
  <si>
    <t>PID0986</t>
  </si>
  <si>
    <t>+91-8106717317</t>
  </si>
  <si>
    <t>PID0987</t>
  </si>
  <si>
    <t>+91-6142189696</t>
  </si>
  <si>
    <t>PID0988</t>
  </si>
  <si>
    <t>+91-8709463062</t>
  </si>
  <si>
    <t>PID0989</t>
  </si>
  <si>
    <t>+91-8475554753</t>
  </si>
  <si>
    <t>PID0990</t>
  </si>
  <si>
    <t>+91-6189607394</t>
  </si>
  <si>
    <t>PID0991</t>
  </si>
  <si>
    <t>+91-7012760926</t>
  </si>
  <si>
    <t>PID0992</t>
  </si>
  <si>
    <t>+91-6227790987</t>
  </si>
  <si>
    <t>PID0993</t>
  </si>
  <si>
    <t>+91-8270215803</t>
  </si>
  <si>
    <t>PID0994</t>
  </si>
  <si>
    <t>+91-6275590556</t>
  </si>
  <si>
    <t>PID0995</t>
  </si>
  <si>
    <t>+91-9777192309</t>
  </si>
  <si>
    <t>PID0996</t>
  </si>
  <si>
    <t>+91-7248168573</t>
  </si>
  <si>
    <t>PID0997</t>
  </si>
  <si>
    <t>+91-7201678766</t>
  </si>
  <si>
    <t>PID0998</t>
  </si>
  <si>
    <t>+91-9572353496</t>
  </si>
  <si>
    <t>PID0999</t>
  </si>
  <si>
    <t>+91-7695309474</t>
  </si>
  <si>
    <t>PID1000</t>
  </si>
  <si>
    <t>+91-6850361237</t>
  </si>
  <si>
    <t>Count of Patient_ID</t>
  </si>
  <si>
    <t>Row Labels</t>
  </si>
  <si>
    <t>Grand Total</t>
  </si>
  <si>
    <t>Jan</t>
  </si>
  <si>
    <t>Feb</t>
  </si>
  <si>
    <t>Mar</t>
  </si>
  <si>
    <t>Apr</t>
  </si>
  <si>
    <t>May</t>
  </si>
  <si>
    <t>Jun</t>
  </si>
  <si>
    <t>Jul</t>
  </si>
  <si>
    <t>Aug</t>
  </si>
  <si>
    <t>Sep</t>
  </si>
  <si>
    <t>Oct</t>
  </si>
  <si>
    <t>Nov</t>
  </si>
  <si>
    <t>Dec</t>
  </si>
  <si>
    <t xml:space="preserve"> </t>
  </si>
  <si>
    <t>Count of Patient_Name</t>
  </si>
  <si>
    <t>Sum of Total_Fees</t>
  </si>
  <si>
    <t>Average of Total_Fees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</si>
</sst>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9">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4" defaultTableStyle="TableStyleMedium9" defaultPivotStyle="PivotStyleLight16">
    <tableStyle name="Slicer Style 1" pivot="0" table="0" count="1" xr9:uid="{89E06F3A-7AD8-4558-8C9F-F30BE8B39FF2}"/>
    <tableStyle name="SlicerStyleDark3 2" pivot="0" table="0" count="10" xr9:uid="{405E05B1-9296-40BE-A421-A9E9178792D5}">
      <tableStyleElement type="wholeTable" dxfId="1"/>
      <tableStyleElement type="headerRow" dxfId="0"/>
    </tableStyle>
    <tableStyle name="Timeline Style 1" pivot="0" table="0" count="8" xr9:uid="{21FED1AD-5767-46C3-8734-77675C59AF88}">
      <tableStyleElement type="wholeTable" dxfId="5"/>
      <tableStyleElement type="headerRow" dxfId="4"/>
    </tableStyle>
    <tableStyle name="Timeline Style 2" pivot="0" table="0" count="8" xr9:uid="{B118E566-362C-497E-9114-AFA4A97FFFA3}">
      <tableStyleElement type="wholeTable" dxfId="3"/>
      <tableStyleElement type="headerRow" dxfId="2"/>
    </tableStyle>
  </tableStyles>
  <colors>
    <mruColors>
      <color rgb="FF3399FF"/>
      <color rgb="FF00FA71"/>
      <color rgb="FF99CCFF"/>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FA7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50"/>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00B050"/>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00B05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[hospital_dataset.xlsx]Table!PivotTable3</c:name>
    <c:fmtId val="18"/>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Table!$B$20</c:f>
              <c:strCache>
                <c:ptCount val="1"/>
                <c:pt idx="0">
                  <c:v>Total</c:v>
                </c:pt>
              </c:strCache>
            </c:strRef>
          </c:tx>
          <c:spPr>
            <a:solidFill>
              <a:srgbClr val="00B050"/>
            </a:solidFill>
            <a:ln>
              <a:noFill/>
            </a:ln>
            <a:effectLst/>
          </c:spPr>
          <c:invertIfNegative val="0"/>
          <c:cat>
            <c:strRef>
              <c:f>Table!$A$21:$A$31</c:f>
              <c:strCache>
                <c:ptCount val="10"/>
                <c:pt idx="0">
                  <c:v>Ahmedabad</c:v>
                </c:pt>
                <c:pt idx="1">
                  <c:v>Delhi</c:v>
                </c:pt>
                <c:pt idx="2">
                  <c:v>Indore</c:v>
                </c:pt>
                <c:pt idx="3">
                  <c:v>Jaipur</c:v>
                </c:pt>
                <c:pt idx="4">
                  <c:v>Lucknow</c:v>
                </c:pt>
                <c:pt idx="5">
                  <c:v>Mumbai</c:v>
                </c:pt>
                <c:pt idx="6">
                  <c:v>Pune</c:v>
                </c:pt>
                <c:pt idx="7">
                  <c:v>Rajkot</c:v>
                </c:pt>
                <c:pt idx="8">
                  <c:v>Surat</c:v>
                </c:pt>
                <c:pt idx="9">
                  <c:v>Vadodara</c:v>
                </c:pt>
              </c:strCache>
            </c:strRef>
          </c:cat>
          <c:val>
            <c:numRef>
              <c:f>Table!$B$21:$B$31</c:f>
              <c:numCache>
                <c:formatCode>General</c:formatCode>
                <c:ptCount val="10"/>
                <c:pt idx="0">
                  <c:v>97</c:v>
                </c:pt>
                <c:pt idx="1">
                  <c:v>96</c:v>
                </c:pt>
                <c:pt idx="2">
                  <c:v>96</c:v>
                </c:pt>
                <c:pt idx="3">
                  <c:v>110</c:v>
                </c:pt>
                <c:pt idx="4">
                  <c:v>82</c:v>
                </c:pt>
                <c:pt idx="5">
                  <c:v>98</c:v>
                </c:pt>
                <c:pt idx="6">
                  <c:v>110</c:v>
                </c:pt>
                <c:pt idx="7">
                  <c:v>109</c:v>
                </c:pt>
                <c:pt idx="8">
                  <c:v>110</c:v>
                </c:pt>
                <c:pt idx="9">
                  <c:v>92</c:v>
                </c:pt>
              </c:numCache>
            </c:numRef>
          </c:val>
          <c:extLst>
            <c:ext xmlns:c16="http://schemas.microsoft.com/office/drawing/2014/chart" uri="{C3380CC4-5D6E-409C-BE32-E72D297353CC}">
              <c16:uniqueId val="{00000000-16C9-439D-BCE4-8119D1408C76}"/>
            </c:ext>
          </c:extLst>
        </c:ser>
        <c:dLbls>
          <c:showLegendKey val="0"/>
          <c:showVal val="0"/>
          <c:showCatName val="0"/>
          <c:showSerName val="0"/>
          <c:showPercent val="0"/>
          <c:showBubbleSize val="0"/>
        </c:dLbls>
        <c:gapWidth val="219"/>
        <c:overlap val="-27"/>
        <c:axId val="813527631"/>
        <c:axId val="813546831"/>
      </c:barChart>
      <c:catAx>
        <c:axId val="81352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46831"/>
        <c:crosses val="autoZero"/>
        <c:auto val="1"/>
        <c:lblAlgn val="ctr"/>
        <c:lblOffset val="100"/>
        <c:noMultiLvlLbl val="0"/>
      </c:catAx>
      <c:valAx>
        <c:axId val="81354683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2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[hospital_dataset.xlsx]Table!PivotTable4</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Table!$B$36</c:f>
              <c:strCache>
                <c:ptCount val="1"/>
                <c:pt idx="0">
                  <c:v>Total</c:v>
                </c:pt>
              </c:strCache>
            </c:strRef>
          </c:tx>
          <c:spPr>
            <a:solidFill>
              <a:schemeClr val="accent1"/>
            </a:solidFill>
            <a:ln>
              <a:noFill/>
            </a:ln>
            <a:effectLst/>
          </c:spPr>
          <c:invertIfNegative val="0"/>
          <c:cat>
            <c:strRef>
              <c:f>Table!$A$37:$A$53</c:f>
              <c:strCache>
                <c:ptCount val="16"/>
                <c:pt idx="0">
                  <c:v>Arthritis</c:v>
                </c:pt>
                <c:pt idx="1">
                  <c:v>Asthma</c:v>
                </c:pt>
                <c:pt idx="2">
                  <c:v>Back Pain</c:v>
                </c:pt>
                <c:pt idx="3">
                  <c:v>COVID-19</c:v>
                </c:pt>
                <c:pt idx="4">
                  <c:v>Dengue</c:v>
                </c:pt>
                <c:pt idx="5">
                  <c:v>Diabetes</c:v>
                </c:pt>
                <c:pt idx="6">
                  <c:v>Fever</c:v>
                </c:pt>
                <c:pt idx="7">
                  <c:v>Flu</c:v>
                </c:pt>
                <c:pt idx="8">
                  <c:v>Fracture</c:v>
                </c:pt>
                <c:pt idx="9">
                  <c:v>Heart Disease</c:v>
                </c:pt>
                <c:pt idx="10">
                  <c:v>Hypertension</c:v>
                </c:pt>
                <c:pt idx="11">
                  <c:v>Kidney Stone</c:v>
                </c:pt>
                <c:pt idx="12">
                  <c:v>Migraine</c:v>
                </c:pt>
                <c:pt idx="13">
                  <c:v>Pneumonia</c:v>
                </c:pt>
                <c:pt idx="14">
                  <c:v>Skin Allergy</c:v>
                </c:pt>
                <c:pt idx="15">
                  <c:v>Typhoid</c:v>
                </c:pt>
              </c:strCache>
            </c:strRef>
          </c:cat>
          <c:val>
            <c:numRef>
              <c:f>Table!$B$37:$B$53</c:f>
              <c:numCache>
                <c:formatCode>General</c:formatCode>
                <c:ptCount val="16"/>
                <c:pt idx="0">
                  <c:v>56</c:v>
                </c:pt>
                <c:pt idx="1">
                  <c:v>60</c:v>
                </c:pt>
                <c:pt idx="2">
                  <c:v>61</c:v>
                </c:pt>
                <c:pt idx="3">
                  <c:v>50</c:v>
                </c:pt>
                <c:pt idx="4">
                  <c:v>70</c:v>
                </c:pt>
                <c:pt idx="5">
                  <c:v>53</c:v>
                </c:pt>
                <c:pt idx="6">
                  <c:v>58</c:v>
                </c:pt>
                <c:pt idx="7">
                  <c:v>60</c:v>
                </c:pt>
                <c:pt idx="8">
                  <c:v>56</c:v>
                </c:pt>
                <c:pt idx="9">
                  <c:v>68</c:v>
                </c:pt>
                <c:pt idx="10">
                  <c:v>74</c:v>
                </c:pt>
                <c:pt idx="11">
                  <c:v>64</c:v>
                </c:pt>
                <c:pt idx="12">
                  <c:v>72</c:v>
                </c:pt>
                <c:pt idx="13">
                  <c:v>58</c:v>
                </c:pt>
                <c:pt idx="14">
                  <c:v>78</c:v>
                </c:pt>
                <c:pt idx="15">
                  <c:v>62</c:v>
                </c:pt>
              </c:numCache>
            </c:numRef>
          </c:val>
          <c:extLst>
            <c:ext xmlns:c16="http://schemas.microsoft.com/office/drawing/2014/chart" uri="{C3380CC4-5D6E-409C-BE32-E72D297353CC}">
              <c16:uniqueId val="{00000000-3509-48D7-8AD3-4E0F8987BE3B}"/>
            </c:ext>
          </c:extLst>
        </c:ser>
        <c:dLbls>
          <c:showLegendKey val="0"/>
          <c:showVal val="0"/>
          <c:showCatName val="0"/>
          <c:showSerName val="0"/>
          <c:showPercent val="0"/>
          <c:showBubbleSize val="0"/>
        </c:dLbls>
        <c:gapWidth val="182"/>
        <c:axId val="765441087"/>
        <c:axId val="765446847"/>
      </c:barChart>
      <c:catAx>
        <c:axId val="76544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46847"/>
        <c:crosses val="autoZero"/>
        <c:auto val="1"/>
        <c:lblAlgn val="ctr"/>
        <c:lblOffset val="100"/>
        <c:noMultiLvlLbl val="0"/>
      </c:catAx>
      <c:valAx>
        <c:axId val="76544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[hospital_dataset.xlsx]Table!PivotTable5</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66819772528434"/>
              <c:y val="7.3898184601924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9306649168854"/>
                  <c:h val="6.4745552639253412E-2"/>
                </c:manualLayout>
              </c15:layout>
            </c:ext>
          </c:extLst>
        </c:dLbl>
      </c:pivotFmt>
    </c:pivotFmts>
    <c:plotArea>
      <c:layout/>
      <c:pieChart>
        <c:varyColors val="1"/>
        <c:ser>
          <c:idx val="0"/>
          <c:order val="0"/>
          <c:tx>
            <c:strRef>
              <c:f>Table!$B$59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983-466E-A2D2-94E453810E38}"/>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Lbl>
              <c:idx val="1"/>
              <c:layout>
                <c:manualLayout>
                  <c:x val="-0.12566819772528434"/>
                  <c:y val="7.389818460192466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859306649168854"/>
                      <c:h val="6.4745552639253412E-2"/>
                    </c:manualLayout>
                  </c15:layout>
                </c:ext>
                <c:ext xmlns:c16="http://schemas.microsoft.com/office/drawing/2014/chart" uri="{C3380CC4-5D6E-409C-BE32-E72D297353CC}">
                  <c16:uniqueId val="{00000002-C983-466E-A2D2-94E453810E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Table!$A$60:$A$67</c:f>
              <c:strCache>
                <c:ptCount val="7"/>
                <c:pt idx="0">
                  <c:v>Cardiology</c:v>
                </c:pt>
                <c:pt idx="1">
                  <c:v>Dermatology</c:v>
                </c:pt>
                <c:pt idx="2">
                  <c:v>ENT</c:v>
                </c:pt>
                <c:pt idx="3">
                  <c:v>General Medicine</c:v>
                </c:pt>
                <c:pt idx="4">
                  <c:v>Neurology</c:v>
                </c:pt>
                <c:pt idx="5">
                  <c:v>Orthopedics</c:v>
                </c:pt>
                <c:pt idx="6">
                  <c:v>Pediatrics</c:v>
                </c:pt>
              </c:strCache>
            </c:strRef>
          </c:cat>
          <c:val>
            <c:numRef>
              <c:f>Table!$B$60:$B$67</c:f>
              <c:numCache>
                <c:formatCode>General</c:formatCode>
                <c:ptCount val="7"/>
                <c:pt idx="0">
                  <c:v>117</c:v>
                </c:pt>
                <c:pt idx="1">
                  <c:v>150</c:v>
                </c:pt>
                <c:pt idx="2">
                  <c:v>134</c:v>
                </c:pt>
                <c:pt idx="3">
                  <c:v>155</c:v>
                </c:pt>
                <c:pt idx="4">
                  <c:v>152</c:v>
                </c:pt>
                <c:pt idx="5">
                  <c:v>152</c:v>
                </c:pt>
                <c:pt idx="6">
                  <c:v>140</c:v>
                </c:pt>
              </c:numCache>
            </c:numRef>
          </c:val>
          <c:extLst>
            <c:ext xmlns:c16="http://schemas.microsoft.com/office/drawing/2014/chart" uri="{C3380CC4-5D6E-409C-BE32-E72D297353CC}">
              <c16:uniqueId val="{00000000-C983-466E-A2D2-94E453810E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Table!$B$77</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cat>
            <c:strRef>
              <c:f>Table!$A$78:$A$86</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Table!$B$78:$B$86</c:f>
              <c:numCache>
                <c:formatCode>General</c:formatCode>
                <c:ptCount val="8"/>
                <c:pt idx="0">
                  <c:v>123</c:v>
                </c:pt>
                <c:pt idx="1">
                  <c:v>126</c:v>
                </c:pt>
                <c:pt idx="2">
                  <c:v>115</c:v>
                </c:pt>
                <c:pt idx="3">
                  <c:v>107</c:v>
                </c:pt>
                <c:pt idx="4">
                  <c:v>145</c:v>
                </c:pt>
                <c:pt idx="5">
                  <c:v>133</c:v>
                </c:pt>
                <c:pt idx="6">
                  <c:v>124</c:v>
                </c:pt>
                <c:pt idx="7">
                  <c:v>127</c:v>
                </c:pt>
              </c:numCache>
            </c:numRef>
          </c:val>
          <c:extLst>
            <c:ext xmlns:c16="http://schemas.microsoft.com/office/drawing/2014/chart" uri="{C3380CC4-5D6E-409C-BE32-E72D297353CC}">
              <c16:uniqueId val="{00000000-2296-469C-9444-97E83A23D1DC}"/>
            </c:ext>
          </c:extLst>
        </c:ser>
        <c:dLbls>
          <c:showLegendKey val="0"/>
          <c:showVal val="0"/>
          <c:showCatName val="0"/>
          <c:showSerName val="0"/>
          <c:showPercent val="0"/>
          <c:showBubbleSize val="0"/>
        </c:dLbls>
        <c:gapWidth val="219"/>
        <c:overlap val="-27"/>
        <c:axId val="801500815"/>
        <c:axId val="801497935"/>
      </c:barChart>
      <c:catAx>
        <c:axId val="8015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7935"/>
        <c:crosses val="autoZero"/>
        <c:auto val="1"/>
        <c:lblAlgn val="ctr"/>
        <c:lblOffset val="100"/>
        <c:noMultiLvlLbl val="0"/>
      </c:catAx>
      <c:valAx>
        <c:axId val="80149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[hospital_dataset.xlsx]Table!PivotTable8</c:name>
    <c:fmtId val="43"/>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8739969668371"/>
          <c:y val="8.533333333333333E-2"/>
          <c:w val="0.82776048342794362"/>
          <c:h val="0.70043548556430446"/>
        </c:manualLayout>
      </c:layout>
      <c:barChart>
        <c:barDir val="col"/>
        <c:grouping val="clustered"/>
        <c:varyColors val="0"/>
        <c:ser>
          <c:idx val="0"/>
          <c:order val="0"/>
          <c:tx>
            <c:strRef>
              <c:f>Table!$B$91</c:f>
              <c:strCache>
                <c:ptCount val="1"/>
                <c:pt idx="0">
                  <c:v>Total</c:v>
                </c:pt>
              </c:strCache>
            </c:strRef>
          </c:tx>
          <c:spPr>
            <a:solidFill>
              <a:srgbClr val="00B050"/>
            </a:solidFill>
            <a:ln>
              <a:noFill/>
            </a:ln>
            <a:effectLst/>
          </c:spPr>
          <c:invertIfNegative val="0"/>
          <c:cat>
            <c:strRef>
              <c:f>Table!$A$92:$A$100</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Table!$B$92:$B$100</c:f>
              <c:numCache>
                <c:formatCode>General</c:formatCode>
                <c:ptCount val="8"/>
                <c:pt idx="0">
                  <c:v>1871194</c:v>
                </c:pt>
                <c:pt idx="1">
                  <c:v>1915858</c:v>
                </c:pt>
                <c:pt idx="2">
                  <c:v>1857336</c:v>
                </c:pt>
                <c:pt idx="3">
                  <c:v>1650982</c:v>
                </c:pt>
                <c:pt idx="4">
                  <c:v>2359949</c:v>
                </c:pt>
                <c:pt idx="5">
                  <c:v>2038745</c:v>
                </c:pt>
                <c:pt idx="6">
                  <c:v>1893883</c:v>
                </c:pt>
                <c:pt idx="7">
                  <c:v>2014783</c:v>
                </c:pt>
              </c:numCache>
            </c:numRef>
          </c:val>
          <c:extLst>
            <c:ext xmlns:c16="http://schemas.microsoft.com/office/drawing/2014/chart" uri="{C3380CC4-5D6E-409C-BE32-E72D297353CC}">
              <c16:uniqueId val="{00000000-FFBF-4EC2-81BF-3265CED3AF6F}"/>
            </c:ext>
          </c:extLst>
        </c:ser>
        <c:dLbls>
          <c:showLegendKey val="0"/>
          <c:showVal val="0"/>
          <c:showCatName val="0"/>
          <c:showSerName val="0"/>
          <c:showPercent val="0"/>
          <c:showBubbleSize val="0"/>
        </c:dLbls>
        <c:gapWidth val="182"/>
        <c:axId val="1090639391"/>
        <c:axId val="1090642271"/>
      </c:barChart>
      <c:catAx>
        <c:axId val="10906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42271"/>
        <c:crosses val="autoZero"/>
        <c:auto val="1"/>
        <c:lblAlgn val="ctr"/>
        <c:lblOffset val="100"/>
        <c:noMultiLvlLbl val="0"/>
      </c:catAx>
      <c:valAx>
        <c:axId val="109064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[hospital_dataset.xlsx]Table!PivotTable9</c:name>
    <c:fmtId val="53"/>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Table!$B$103</c:f>
              <c:strCache>
                <c:ptCount val="1"/>
                <c:pt idx="0">
                  <c:v>Total</c:v>
                </c:pt>
              </c:strCache>
            </c:strRef>
          </c:tx>
          <c:spPr>
            <a:solidFill>
              <a:srgbClr val="00B050"/>
            </a:solidFill>
            <a:ln>
              <a:noFill/>
            </a:ln>
            <a:effectLst/>
          </c:spPr>
          <c:invertIfNegative val="0"/>
          <c:cat>
            <c:strRef>
              <c:f>Table!$A$104:$A$112</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Table!$B$104:$B$112</c:f>
              <c:numCache>
                <c:formatCode>General</c:formatCode>
                <c:ptCount val="8"/>
                <c:pt idx="0">
                  <c:v>15212.959349593495</c:v>
                </c:pt>
                <c:pt idx="1">
                  <c:v>15205.222222222223</c:v>
                </c:pt>
                <c:pt idx="2">
                  <c:v>16150.747826086956</c:v>
                </c:pt>
                <c:pt idx="3">
                  <c:v>15429.73831775701</c:v>
                </c:pt>
                <c:pt idx="4">
                  <c:v>16275.510344827586</c:v>
                </c:pt>
                <c:pt idx="5">
                  <c:v>15328.90977443609</c:v>
                </c:pt>
                <c:pt idx="6">
                  <c:v>15273.25</c:v>
                </c:pt>
                <c:pt idx="7">
                  <c:v>15864.433070866142</c:v>
                </c:pt>
              </c:numCache>
            </c:numRef>
          </c:val>
          <c:extLst>
            <c:ext xmlns:c16="http://schemas.microsoft.com/office/drawing/2014/chart" uri="{C3380CC4-5D6E-409C-BE32-E72D297353CC}">
              <c16:uniqueId val="{00000000-4145-4B57-A430-945A69646219}"/>
            </c:ext>
          </c:extLst>
        </c:ser>
        <c:dLbls>
          <c:showLegendKey val="0"/>
          <c:showVal val="0"/>
          <c:showCatName val="0"/>
          <c:showSerName val="0"/>
          <c:showPercent val="0"/>
          <c:showBubbleSize val="0"/>
        </c:dLbls>
        <c:gapWidth val="182"/>
        <c:axId val="1006220847"/>
        <c:axId val="1006201167"/>
      </c:barChart>
      <c:catAx>
        <c:axId val="10062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01167"/>
        <c:crosses val="autoZero"/>
        <c:auto val="1"/>
        <c:lblAlgn val="ctr"/>
        <c:lblOffset val="100"/>
        <c:noMultiLvlLbl val="0"/>
      </c:catAx>
      <c:valAx>
        <c:axId val="100620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[hospital_dataset.xlsx]Table!PivotTable1</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pivotFmt>
    </c:pivotFmts>
    <c:plotArea>
      <c:layout>
        <c:manualLayout>
          <c:layoutTarget val="inner"/>
          <c:xMode val="edge"/>
          <c:yMode val="edge"/>
          <c:x val="6.6624424428376142E-2"/>
          <c:y val="0.14253324561318037"/>
          <c:w val="0.91957652488111896"/>
          <c:h val="0.61342567390386171"/>
        </c:manualLayout>
      </c:layout>
      <c:lineChart>
        <c:grouping val="standard"/>
        <c:varyColors val="0"/>
        <c:ser>
          <c:idx val="0"/>
          <c:order val="0"/>
          <c:tx>
            <c:strRef>
              <c:f>Table!$B$3</c:f>
              <c:strCache>
                <c:ptCount val="1"/>
                <c:pt idx="0">
                  <c:v>Total</c:v>
                </c:pt>
              </c:strCache>
            </c:strRef>
          </c:tx>
          <c:spPr>
            <a:ln w="28575" cap="rnd">
              <a:solidFill>
                <a:srgbClr val="00B050"/>
              </a:solidFill>
              <a:round/>
            </a:ln>
            <a:effectLst/>
          </c:spPr>
          <c:marker>
            <c:symbol val="none"/>
          </c:marker>
          <c:cat>
            <c:strRef>
              <c:f>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Table!$B$4:$B$16</c:f>
              <c:numCache>
                <c:formatCode>General</c:formatCode>
                <c:ptCount val="12"/>
                <c:pt idx="0">
                  <c:v>77</c:v>
                </c:pt>
                <c:pt idx="1">
                  <c:v>66</c:v>
                </c:pt>
                <c:pt idx="2">
                  <c:v>86</c:v>
                </c:pt>
                <c:pt idx="3">
                  <c:v>88</c:v>
                </c:pt>
                <c:pt idx="4">
                  <c:v>89</c:v>
                </c:pt>
                <c:pt idx="5">
                  <c:v>78</c:v>
                </c:pt>
                <c:pt idx="6">
                  <c:v>111</c:v>
                </c:pt>
                <c:pt idx="7">
                  <c:v>70</c:v>
                </c:pt>
                <c:pt idx="8">
                  <c:v>98</c:v>
                </c:pt>
                <c:pt idx="9">
                  <c:v>83</c:v>
                </c:pt>
                <c:pt idx="10">
                  <c:v>76</c:v>
                </c:pt>
                <c:pt idx="11">
                  <c:v>78</c:v>
                </c:pt>
              </c:numCache>
            </c:numRef>
          </c:val>
          <c:smooth val="0"/>
          <c:extLst>
            <c:ext xmlns:c16="http://schemas.microsoft.com/office/drawing/2014/chart" uri="{C3380CC4-5D6E-409C-BE32-E72D297353CC}">
              <c16:uniqueId val="{00000000-D719-49F8-BEEC-85F7957DA7E4}"/>
            </c:ext>
          </c:extLst>
        </c:ser>
        <c:dLbls>
          <c:showLegendKey val="0"/>
          <c:showVal val="0"/>
          <c:showCatName val="0"/>
          <c:showSerName val="0"/>
          <c:showPercent val="0"/>
          <c:showBubbleSize val="0"/>
        </c:dLbls>
        <c:smooth val="0"/>
        <c:axId val="1992529039"/>
        <c:axId val="1992539119"/>
      </c:lineChart>
      <c:catAx>
        <c:axId val="199252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39119"/>
        <c:crosses val="autoZero"/>
        <c:auto val="1"/>
        <c:lblAlgn val="ctr"/>
        <c:lblOffset val="100"/>
        <c:noMultiLvlLbl val="0"/>
      </c:catAx>
      <c:valAx>
        <c:axId val="1992539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2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[hospital_dataset.xlsx]Table!PivotTable3</c:name>
    <c:fmtId val="2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Table!$B$20</c:f>
              <c:strCache>
                <c:ptCount val="1"/>
                <c:pt idx="0">
                  <c:v>Total</c:v>
                </c:pt>
              </c:strCache>
            </c:strRef>
          </c:tx>
          <c:spPr>
            <a:solidFill>
              <a:srgbClr val="00B050"/>
            </a:solidFill>
            <a:ln>
              <a:noFill/>
            </a:ln>
            <a:effectLst/>
          </c:spPr>
          <c:invertIfNegative val="0"/>
          <c:cat>
            <c:strRef>
              <c:f>Table!$A$21:$A$31</c:f>
              <c:strCache>
                <c:ptCount val="10"/>
                <c:pt idx="0">
                  <c:v>Ahmedabad</c:v>
                </c:pt>
                <c:pt idx="1">
                  <c:v>Delhi</c:v>
                </c:pt>
                <c:pt idx="2">
                  <c:v>Indore</c:v>
                </c:pt>
                <c:pt idx="3">
                  <c:v>Jaipur</c:v>
                </c:pt>
                <c:pt idx="4">
                  <c:v>Lucknow</c:v>
                </c:pt>
                <c:pt idx="5">
                  <c:v>Mumbai</c:v>
                </c:pt>
                <c:pt idx="6">
                  <c:v>Pune</c:v>
                </c:pt>
                <c:pt idx="7">
                  <c:v>Rajkot</c:v>
                </c:pt>
                <c:pt idx="8">
                  <c:v>Surat</c:v>
                </c:pt>
                <c:pt idx="9">
                  <c:v>Vadodara</c:v>
                </c:pt>
              </c:strCache>
            </c:strRef>
          </c:cat>
          <c:val>
            <c:numRef>
              <c:f>Table!$B$21:$B$31</c:f>
              <c:numCache>
                <c:formatCode>General</c:formatCode>
                <c:ptCount val="10"/>
                <c:pt idx="0">
                  <c:v>97</c:v>
                </c:pt>
                <c:pt idx="1">
                  <c:v>96</c:v>
                </c:pt>
                <c:pt idx="2">
                  <c:v>96</c:v>
                </c:pt>
                <c:pt idx="3">
                  <c:v>110</c:v>
                </c:pt>
                <c:pt idx="4">
                  <c:v>82</c:v>
                </c:pt>
                <c:pt idx="5">
                  <c:v>98</c:v>
                </c:pt>
                <c:pt idx="6">
                  <c:v>110</c:v>
                </c:pt>
                <c:pt idx="7">
                  <c:v>109</c:v>
                </c:pt>
                <c:pt idx="8">
                  <c:v>110</c:v>
                </c:pt>
                <c:pt idx="9">
                  <c:v>92</c:v>
                </c:pt>
              </c:numCache>
            </c:numRef>
          </c:val>
          <c:extLst>
            <c:ext xmlns:c16="http://schemas.microsoft.com/office/drawing/2014/chart" uri="{C3380CC4-5D6E-409C-BE32-E72D297353CC}">
              <c16:uniqueId val="{00000000-B1CA-4F10-81E1-89901278D5F6}"/>
            </c:ext>
          </c:extLst>
        </c:ser>
        <c:dLbls>
          <c:showLegendKey val="0"/>
          <c:showVal val="0"/>
          <c:showCatName val="0"/>
          <c:showSerName val="0"/>
          <c:showPercent val="0"/>
          <c:showBubbleSize val="0"/>
        </c:dLbls>
        <c:gapWidth val="219"/>
        <c:overlap val="-27"/>
        <c:axId val="813527631"/>
        <c:axId val="813546831"/>
      </c:barChart>
      <c:catAx>
        <c:axId val="81352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46831"/>
        <c:crosses val="autoZero"/>
        <c:auto val="1"/>
        <c:lblAlgn val="ctr"/>
        <c:lblOffset val="100"/>
        <c:noMultiLvlLbl val="0"/>
      </c:catAx>
      <c:valAx>
        <c:axId val="81354683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2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7343104389179"/>
          <c:y val="0.10838516147602024"/>
          <c:w val="0.80613370846087407"/>
          <c:h val="0.82798778446193466"/>
        </c:manualLayout>
      </c:layout>
      <c:barChart>
        <c:barDir val="bar"/>
        <c:grouping val="clustered"/>
        <c:varyColors val="0"/>
        <c:ser>
          <c:idx val="0"/>
          <c:order val="0"/>
          <c:tx>
            <c:strRef>
              <c:f>Table!$B$36</c:f>
              <c:strCache>
                <c:ptCount val="1"/>
                <c:pt idx="0">
                  <c:v>Total</c:v>
                </c:pt>
              </c:strCache>
            </c:strRef>
          </c:tx>
          <c:spPr>
            <a:solidFill>
              <a:srgbClr val="00B050"/>
            </a:solidFill>
            <a:ln>
              <a:noFill/>
            </a:ln>
            <a:effectLst/>
          </c:spPr>
          <c:invertIfNegative val="0"/>
          <c:cat>
            <c:strRef>
              <c:f>Table!$A$37:$A$53</c:f>
              <c:strCache>
                <c:ptCount val="16"/>
                <c:pt idx="0">
                  <c:v>Arthritis</c:v>
                </c:pt>
                <c:pt idx="1">
                  <c:v>Asthma</c:v>
                </c:pt>
                <c:pt idx="2">
                  <c:v>Back Pain</c:v>
                </c:pt>
                <c:pt idx="3">
                  <c:v>COVID-19</c:v>
                </c:pt>
                <c:pt idx="4">
                  <c:v>Dengue</c:v>
                </c:pt>
                <c:pt idx="5">
                  <c:v>Diabetes</c:v>
                </c:pt>
                <c:pt idx="6">
                  <c:v>Fever</c:v>
                </c:pt>
                <c:pt idx="7">
                  <c:v>Flu</c:v>
                </c:pt>
                <c:pt idx="8">
                  <c:v>Fracture</c:v>
                </c:pt>
                <c:pt idx="9">
                  <c:v>Heart Disease</c:v>
                </c:pt>
                <c:pt idx="10">
                  <c:v>Hypertension</c:v>
                </c:pt>
                <c:pt idx="11">
                  <c:v>Kidney Stone</c:v>
                </c:pt>
                <c:pt idx="12">
                  <c:v>Migraine</c:v>
                </c:pt>
                <c:pt idx="13">
                  <c:v>Pneumonia</c:v>
                </c:pt>
                <c:pt idx="14">
                  <c:v>Skin Allergy</c:v>
                </c:pt>
                <c:pt idx="15">
                  <c:v>Typhoid</c:v>
                </c:pt>
              </c:strCache>
            </c:strRef>
          </c:cat>
          <c:val>
            <c:numRef>
              <c:f>Table!$B$37:$B$53</c:f>
              <c:numCache>
                <c:formatCode>General</c:formatCode>
                <c:ptCount val="16"/>
                <c:pt idx="0">
                  <c:v>56</c:v>
                </c:pt>
                <c:pt idx="1">
                  <c:v>60</c:v>
                </c:pt>
                <c:pt idx="2">
                  <c:v>61</c:v>
                </c:pt>
                <c:pt idx="3">
                  <c:v>50</c:v>
                </c:pt>
                <c:pt idx="4">
                  <c:v>70</c:v>
                </c:pt>
                <c:pt idx="5">
                  <c:v>53</c:v>
                </c:pt>
                <c:pt idx="6">
                  <c:v>58</c:v>
                </c:pt>
                <c:pt idx="7">
                  <c:v>60</c:v>
                </c:pt>
                <c:pt idx="8">
                  <c:v>56</c:v>
                </c:pt>
                <c:pt idx="9">
                  <c:v>68</c:v>
                </c:pt>
                <c:pt idx="10">
                  <c:v>74</c:v>
                </c:pt>
                <c:pt idx="11">
                  <c:v>64</c:v>
                </c:pt>
                <c:pt idx="12">
                  <c:v>72</c:v>
                </c:pt>
                <c:pt idx="13">
                  <c:v>58</c:v>
                </c:pt>
                <c:pt idx="14">
                  <c:v>78</c:v>
                </c:pt>
                <c:pt idx="15">
                  <c:v>62</c:v>
                </c:pt>
              </c:numCache>
            </c:numRef>
          </c:val>
          <c:extLst>
            <c:ext xmlns:c16="http://schemas.microsoft.com/office/drawing/2014/chart" uri="{C3380CC4-5D6E-409C-BE32-E72D297353CC}">
              <c16:uniqueId val="{00000000-436B-4592-9A1D-8F90EF2FBC8D}"/>
            </c:ext>
          </c:extLst>
        </c:ser>
        <c:dLbls>
          <c:showLegendKey val="0"/>
          <c:showVal val="0"/>
          <c:showCatName val="0"/>
          <c:showSerName val="0"/>
          <c:showPercent val="0"/>
          <c:showBubbleSize val="0"/>
        </c:dLbls>
        <c:gapWidth val="182"/>
        <c:axId val="765441087"/>
        <c:axId val="765446847"/>
      </c:barChart>
      <c:catAx>
        <c:axId val="76544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46847"/>
        <c:crosses val="autoZero"/>
        <c:auto val="1"/>
        <c:lblAlgn val="ctr"/>
        <c:lblOffset val="100"/>
        <c:noMultiLvlLbl val="0"/>
      </c:catAx>
      <c:valAx>
        <c:axId val="765446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4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[hospital_dataset.xlsx]Table!PivotTable5</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66819772528434"/>
              <c:y val="7.3898184601924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9306649168854"/>
                  <c:h val="6.4745552639253412E-2"/>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12566819772528434"/>
              <c:y val="7.3898184601924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9306649168854"/>
                  <c:h val="6.4745552639253412E-2"/>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1271490351270858"/>
              <c:y val="7.2457282897274725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485006731671491E-2"/>
                  <c:h val="5.6099979577480773E-2"/>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Table!$B$59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E6-46AD-9193-2E523BFF73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E6-46AD-9193-2E523BFF73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E6-46AD-9193-2E523BFF73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E6-46AD-9193-2E523BFF73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E6-46AD-9193-2E523BFF73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E6-46AD-9193-2E523BFF73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E6-46AD-9193-2E523BFF73B6}"/>
              </c:ext>
            </c:extLst>
          </c:dPt>
          <c:dLbls>
            <c:dLbl>
              <c:idx val="1"/>
              <c:layout>
                <c:manualLayout>
                  <c:x val="-0.11271490351270858"/>
                  <c:y val="7.2457282897274725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7485006731671491E-2"/>
                      <c:h val="5.6099979577480773E-2"/>
                    </c:manualLayout>
                  </c15:layout>
                </c:ext>
                <c:ext xmlns:c16="http://schemas.microsoft.com/office/drawing/2014/chart" uri="{C3380CC4-5D6E-409C-BE32-E72D297353CC}">
                  <c16:uniqueId val="{00000003-CAE6-46AD-9193-2E523BFF73B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Table!$A$60:$A$67</c:f>
              <c:strCache>
                <c:ptCount val="7"/>
                <c:pt idx="0">
                  <c:v>Cardiology</c:v>
                </c:pt>
                <c:pt idx="1">
                  <c:v>Dermatology</c:v>
                </c:pt>
                <c:pt idx="2">
                  <c:v>ENT</c:v>
                </c:pt>
                <c:pt idx="3">
                  <c:v>General Medicine</c:v>
                </c:pt>
                <c:pt idx="4">
                  <c:v>Neurology</c:v>
                </c:pt>
                <c:pt idx="5">
                  <c:v>Orthopedics</c:v>
                </c:pt>
                <c:pt idx="6">
                  <c:v>Pediatrics</c:v>
                </c:pt>
              </c:strCache>
            </c:strRef>
          </c:cat>
          <c:val>
            <c:numRef>
              <c:f>Table!$B$60:$B$67</c:f>
              <c:numCache>
                <c:formatCode>General</c:formatCode>
                <c:ptCount val="7"/>
                <c:pt idx="0">
                  <c:v>117</c:v>
                </c:pt>
                <c:pt idx="1">
                  <c:v>150</c:v>
                </c:pt>
                <c:pt idx="2">
                  <c:v>134</c:v>
                </c:pt>
                <c:pt idx="3">
                  <c:v>155</c:v>
                </c:pt>
                <c:pt idx="4">
                  <c:v>152</c:v>
                </c:pt>
                <c:pt idx="5">
                  <c:v>152</c:v>
                </c:pt>
                <c:pt idx="6">
                  <c:v>140</c:v>
                </c:pt>
              </c:numCache>
            </c:numRef>
          </c:val>
          <c:extLst>
            <c:ext xmlns:c16="http://schemas.microsoft.com/office/drawing/2014/chart" uri="{C3380CC4-5D6E-409C-BE32-E72D297353CC}">
              <c16:uniqueId val="{0000000E-CAE6-46AD-9193-2E523BFF73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[hospital_dataset.xlsx]Table!PivotTable7</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manualLayout>
          <c:layoutTarget val="inner"/>
          <c:xMode val="edge"/>
          <c:yMode val="edge"/>
          <c:x val="5.6452916713959141E-2"/>
          <c:y val="0.10095239041548466"/>
          <c:w val="0.92442938176966094"/>
          <c:h val="0.71491482142058693"/>
        </c:manualLayout>
      </c:layout>
      <c:barChart>
        <c:barDir val="col"/>
        <c:grouping val="clustered"/>
        <c:varyColors val="1"/>
        <c:ser>
          <c:idx val="0"/>
          <c:order val="0"/>
          <c:tx>
            <c:strRef>
              <c:f>Table!$B$77</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950-4B49-A7FD-B9C8F075F3A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950-4B49-A7FD-B9C8F075F3A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950-4B49-A7FD-B9C8F075F3A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950-4B49-A7FD-B9C8F075F3A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950-4B49-A7FD-B9C8F075F3A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950-4B49-A7FD-B9C8F075F3A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950-4B49-A7FD-B9C8F075F3A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950-4B49-A7FD-B9C8F075F3AE}"/>
              </c:ext>
            </c:extLst>
          </c:dPt>
          <c:cat>
            <c:strRef>
              <c:f>Table!$A$78:$A$86</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Table!$B$78:$B$86</c:f>
              <c:numCache>
                <c:formatCode>General</c:formatCode>
                <c:ptCount val="8"/>
                <c:pt idx="0">
                  <c:v>123</c:v>
                </c:pt>
                <c:pt idx="1">
                  <c:v>126</c:v>
                </c:pt>
                <c:pt idx="2">
                  <c:v>115</c:v>
                </c:pt>
                <c:pt idx="3">
                  <c:v>107</c:v>
                </c:pt>
                <c:pt idx="4">
                  <c:v>145</c:v>
                </c:pt>
                <c:pt idx="5">
                  <c:v>133</c:v>
                </c:pt>
                <c:pt idx="6">
                  <c:v>124</c:v>
                </c:pt>
                <c:pt idx="7">
                  <c:v>127</c:v>
                </c:pt>
              </c:numCache>
            </c:numRef>
          </c:val>
          <c:extLst>
            <c:ext xmlns:c16="http://schemas.microsoft.com/office/drawing/2014/chart" uri="{C3380CC4-5D6E-409C-BE32-E72D297353CC}">
              <c16:uniqueId val="{00000010-4950-4B49-A7FD-B9C8F075F3AE}"/>
            </c:ext>
          </c:extLst>
        </c:ser>
        <c:dLbls>
          <c:showLegendKey val="0"/>
          <c:showVal val="0"/>
          <c:showCatName val="0"/>
          <c:showSerName val="0"/>
          <c:showPercent val="0"/>
          <c:showBubbleSize val="0"/>
        </c:dLbls>
        <c:gapWidth val="219"/>
        <c:overlap val="-27"/>
        <c:axId val="801500815"/>
        <c:axId val="801497935"/>
      </c:barChart>
      <c:catAx>
        <c:axId val="80150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97935"/>
        <c:crosses val="autoZero"/>
        <c:auto val="1"/>
        <c:lblAlgn val="ctr"/>
        <c:lblOffset val="100"/>
        <c:noMultiLvlLbl val="0"/>
      </c:catAx>
      <c:valAx>
        <c:axId val="80149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[hospital_dataset.xlsx]Table!PivotTable8</c:name>
    <c:fmtId val="51"/>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8739969668371"/>
          <c:y val="8.533333333333333E-2"/>
          <c:w val="0.82776048342794362"/>
          <c:h val="0.70043548556430446"/>
        </c:manualLayout>
      </c:layout>
      <c:barChart>
        <c:barDir val="col"/>
        <c:grouping val="clustered"/>
        <c:varyColors val="0"/>
        <c:ser>
          <c:idx val="0"/>
          <c:order val="0"/>
          <c:tx>
            <c:strRef>
              <c:f>Table!$B$91</c:f>
              <c:strCache>
                <c:ptCount val="1"/>
                <c:pt idx="0">
                  <c:v>Total</c:v>
                </c:pt>
              </c:strCache>
            </c:strRef>
          </c:tx>
          <c:spPr>
            <a:solidFill>
              <a:srgbClr val="00B050"/>
            </a:solidFill>
            <a:ln>
              <a:noFill/>
            </a:ln>
            <a:effectLst/>
          </c:spPr>
          <c:invertIfNegative val="0"/>
          <c:cat>
            <c:strRef>
              <c:f>Table!$A$92:$A$100</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Table!$B$92:$B$100</c:f>
              <c:numCache>
                <c:formatCode>General</c:formatCode>
                <c:ptCount val="8"/>
                <c:pt idx="0">
                  <c:v>1871194</c:v>
                </c:pt>
                <c:pt idx="1">
                  <c:v>1915858</c:v>
                </c:pt>
                <c:pt idx="2">
                  <c:v>1857336</c:v>
                </c:pt>
                <c:pt idx="3">
                  <c:v>1650982</c:v>
                </c:pt>
                <c:pt idx="4">
                  <c:v>2359949</c:v>
                </c:pt>
                <c:pt idx="5">
                  <c:v>2038745</c:v>
                </c:pt>
                <c:pt idx="6">
                  <c:v>1893883</c:v>
                </c:pt>
                <c:pt idx="7">
                  <c:v>2014783</c:v>
                </c:pt>
              </c:numCache>
            </c:numRef>
          </c:val>
          <c:extLst>
            <c:ext xmlns:c16="http://schemas.microsoft.com/office/drawing/2014/chart" uri="{C3380CC4-5D6E-409C-BE32-E72D297353CC}">
              <c16:uniqueId val="{00000000-0DEC-4791-8E5B-159357460692}"/>
            </c:ext>
          </c:extLst>
        </c:ser>
        <c:dLbls>
          <c:showLegendKey val="0"/>
          <c:showVal val="0"/>
          <c:showCatName val="0"/>
          <c:showSerName val="0"/>
          <c:showPercent val="0"/>
          <c:showBubbleSize val="0"/>
        </c:dLbls>
        <c:gapWidth val="182"/>
        <c:axId val="1090639391"/>
        <c:axId val="1090642271"/>
      </c:barChart>
      <c:catAx>
        <c:axId val="1090639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42271"/>
        <c:crosses val="autoZero"/>
        <c:auto val="1"/>
        <c:lblAlgn val="ctr"/>
        <c:lblOffset val="100"/>
        <c:noMultiLvlLbl val="0"/>
      </c:catAx>
      <c:valAx>
        <c:axId val="109064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[hospital_dataset.xlsx]Table!PivotTable9</c:name>
    <c:fmtId val="5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04002624671915"/>
          <c:y val="8.3662396776951573E-2"/>
          <c:w val="0.72069737530933919"/>
          <c:h val="0.85498957064681558"/>
        </c:manualLayout>
      </c:layout>
      <c:barChart>
        <c:barDir val="bar"/>
        <c:grouping val="clustered"/>
        <c:varyColors val="0"/>
        <c:ser>
          <c:idx val="0"/>
          <c:order val="0"/>
          <c:tx>
            <c:strRef>
              <c:f>Table!$B$103</c:f>
              <c:strCache>
                <c:ptCount val="1"/>
                <c:pt idx="0">
                  <c:v>Total</c:v>
                </c:pt>
              </c:strCache>
            </c:strRef>
          </c:tx>
          <c:spPr>
            <a:solidFill>
              <a:srgbClr val="00B050"/>
            </a:solidFill>
            <a:ln>
              <a:noFill/>
            </a:ln>
            <a:effectLst/>
          </c:spPr>
          <c:invertIfNegative val="0"/>
          <c:cat>
            <c:strRef>
              <c:f>Table!$A$104:$A$112</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Table!$B$104:$B$112</c:f>
              <c:numCache>
                <c:formatCode>General</c:formatCode>
                <c:ptCount val="8"/>
                <c:pt idx="0">
                  <c:v>15212.959349593495</c:v>
                </c:pt>
                <c:pt idx="1">
                  <c:v>15205.222222222223</c:v>
                </c:pt>
                <c:pt idx="2">
                  <c:v>16150.747826086956</c:v>
                </c:pt>
                <c:pt idx="3">
                  <c:v>15429.73831775701</c:v>
                </c:pt>
                <c:pt idx="4">
                  <c:v>16275.510344827586</c:v>
                </c:pt>
                <c:pt idx="5">
                  <c:v>15328.90977443609</c:v>
                </c:pt>
                <c:pt idx="6">
                  <c:v>15273.25</c:v>
                </c:pt>
                <c:pt idx="7">
                  <c:v>15864.433070866142</c:v>
                </c:pt>
              </c:numCache>
            </c:numRef>
          </c:val>
          <c:extLst>
            <c:ext xmlns:c16="http://schemas.microsoft.com/office/drawing/2014/chart" uri="{C3380CC4-5D6E-409C-BE32-E72D297353CC}">
              <c16:uniqueId val="{00000000-CAB0-45AF-B738-3D08E4304C77}"/>
            </c:ext>
          </c:extLst>
        </c:ser>
        <c:dLbls>
          <c:showLegendKey val="0"/>
          <c:showVal val="0"/>
          <c:showCatName val="0"/>
          <c:showSerName val="0"/>
          <c:showPercent val="0"/>
          <c:showBubbleSize val="0"/>
        </c:dLbls>
        <c:gapWidth val="182"/>
        <c:axId val="1006220847"/>
        <c:axId val="1006201167"/>
      </c:barChart>
      <c:catAx>
        <c:axId val="10062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01167"/>
        <c:crosses val="autoZero"/>
        <c:auto val="1"/>
        <c:lblAlgn val="ctr"/>
        <c:lblOffset val="100"/>
        <c:noMultiLvlLbl val="0"/>
      </c:catAx>
      <c:valAx>
        <c:axId val="100620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2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[hospital_dataset.xlsx]Table!PivotTable11</c:name>
    <c:fmtId val="66"/>
  </c:pivotSource>
  <c:chart>
    <c:autoTitleDeleted val="1"/>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848142464309"/>
          <c:y val="6.4814719332410536E-2"/>
          <c:w val="0.83953018372703414"/>
          <c:h val="0.8416746864975212"/>
        </c:manualLayout>
      </c:layout>
      <c:lineChart>
        <c:grouping val="standard"/>
        <c:varyColors val="0"/>
        <c:ser>
          <c:idx val="0"/>
          <c:order val="0"/>
          <c:tx>
            <c:strRef>
              <c:f>Table!$B$129</c:f>
              <c:strCache>
                <c:ptCount val="1"/>
                <c:pt idx="0">
                  <c:v>Total</c:v>
                </c:pt>
              </c:strCache>
            </c:strRef>
          </c:tx>
          <c:spPr>
            <a:ln w="28575" cap="rnd">
              <a:solidFill>
                <a:srgbClr val="00B050"/>
              </a:solidFill>
              <a:round/>
            </a:ln>
            <a:effectLst/>
          </c:spPr>
          <c:marker>
            <c:symbol val="none"/>
          </c:marker>
          <c:cat>
            <c:strRef>
              <c:f>Table!$A$130:$A$142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Table!$B$130:$B$142</c:f>
              <c:numCache>
                <c:formatCode>General</c:formatCode>
                <c:ptCount val="12"/>
                <c:pt idx="0">
                  <c:v>1203836</c:v>
                </c:pt>
                <c:pt idx="1">
                  <c:v>1060127</c:v>
                </c:pt>
                <c:pt idx="2">
                  <c:v>1301514</c:v>
                </c:pt>
                <c:pt idx="3">
                  <c:v>1292475</c:v>
                </c:pt>
                <c:pt idx="4">
                  <c:v>1387192</c:v>
                </c:pt>
                <c:pt idx="5">
                  <c:v>1183272</c:v>
                </c:pt>
                <c:pt idx="6">
                  <c:v>1801623</c:v>
                </c:pt>
                <c:pt idx="7">
                  <c:v>1080324</c:v>
                </c:pt>
                <c:pt idx="8">
                  <c:v>1548390</c:v>
                </c:pt>
                <c:pt idx="9">
                  <c:v>1326729</c:v>
                </c:pt>
                <c:pt idx="10">
                  <c:v>1220174</c:v>
                </c:pt>
                <c:pt idx="11">
                  <c:v>1197074</c:v>
                </c:pt>
              </c:numCache>
            </c:numRef>
          </c:val>
          <c:smooth val="0"/>
          <c:extLst>
            <c:ext xmlns:c16="http://schemas.microsoft.com/office/drawing/2014/chart" uri="{C3380CC4-5D6E-409C-BE32-E72D297353CC}">
              <c16:uniqueId val="{00000000-9AA6-474B-90DD-7F2D868990FB}"/>
            </c:ext>
          </c:extLst>
        </c:ser>
        <c:dLbls>
          <c:showLegendKey val="0"/>
          <c:showVal val="0"/>
          <c:showCatName val="0"/>
          <c:showSerName val="0"/>
          <c:showPercent val="0"/>
          <c:showBubbleSize val="0"/>
        </c:dLbls>
        <c:smooth val="0"/>
        <c:axId val="1019015871"/>
        <c:axId val="1019011551"/>
      </c:lineChart>
      <c:catAx>
        <c:axId val="101901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11551"/>
        <c:crosses val="autoZero"/>
        <c:auto val="1"/>
        <c:lblAlgn val="ctr"/>
        <c:lblOffset val="100"/>
        <c:noMultiLvlLbl val="0"/>
      </c:catAx>
      <c:valAx>
        <c:axId val="101901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1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[hospital_dataset.xlsx]Table!PivotTable12</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barChart>
        <c:barDir val="col"/>
        <c:grouping val="clustered"/>
        <c:varyColors val="1"/>
        <c:ser>
          <c:idx val="0"/>
          <c:order val="0"/>
          <c:tx>
            <c:strRef>
              <c:f>Table!$B$146</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752-40EA-8A18-DB5ECD19F6F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752-40EA-8A18-DB5ECD19F6F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752-40EA-8A18-DB5ECD19F6F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752-40EA-8A18-DB5ECD19F6F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752-40EA-8A18-DB5ECD19F6F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752-40EA-8A18-DB5ECD19F6F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A752-40EA-8A18-DB5ECD19F6F9}"/>
              </c:ext>
            </c:extLst>
          </c:dPt>
          <c:cat>
            <c:strRef>
              <c:f>Table!$A$147:$A$154</c:f>
              <c:strCache>
                <c:ptCount val="7"/>
                <c:pt idx="0">
                  <c:v>Cardiology</c:v>
                </c:pt>
                <c:pt idx="1">
                  <c:v>Dermatology</c:v>
                </c:pt>
                <c:pt idx="2">
                  <c:v>ENT</c:v>
                </c:pt>
                <c:pt idx="3">
                  <c:v>General Medicine</c:v>
                </c:pt>
                <c:pt idx="4">
                  <c:v>Neurology</c:v>
                </c:pt>
                <c:pt idx="5">
                  <c:v>Orthopedics</c:v>
                </c:pt>
                <c:pt idx="6">
                  <c:v>Pediatrics</c:v>
                </c:pt>
              </c:strCache>
            </c:strRef>
          </c:cat>
          <c:val>
            <c:numRef>
              <c:f>Table!$B$147:$B$154</c:f>
              <c:numCache>
                <c:formatCode>General</c:formatCode>
                <c:ptCount val="7"/>
                <c:pt idx="0">
                  <c:v>1801104</c:v>
                </c:pt>
                <c:pt idx="1">
                  <c:v>2300149</c:v>
                </c:pt>
                <c:pt idx="2">
                  <c:v>2129826</c:v>
                </c:pt>
                <c:pt idx="3">
                  <c:v>2416822</c:v>
                </c:pt>
                <c:pt idx="4">
                  <c:v>2378900</c:v>
                </c:pt>
                <c:pt idx="5">
                  <c:v>2310655</c:v>
                </c:pt>
                <c:pt idx="6">
                  <c:v>2265274</c:v>
                </c:pt>
              </c:numCache>
            </c:numRef>
          </c:val>
          <c:extLst>
            <c:ext xmlns:c16="http://schemas.microsoft.com/office/drawing/2014/chart" uri="{C3380CC4-5D6E-409C-BE32-E72D297353CC}">
              <c16:uniqueId val="{0000000E-A752-40EA-8A18-DB5ECD19F6F9}"/>
            </c:ext>
          </c:extLst>
        </c:ser>
        <c:dLbls>
          <c:showLegendKey val="0"/>
          <c:showVal val="0"/>
          <c:showCatName val="0"/>
          <c:showSerName val="0"/>
          <c:showPercent val="0"/>
          <c:showBubbleSize val="0"/>
        </c:dLbls>
        <c:gapWidth val="219"/>
        <c:overlap val="-27"/>
        <c:axId val="1100612655"/>
        <c:axId val="1100630895"/>
      </c:barChart>
      <c:catAx>
        <c:axId val="110061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30895"/>
        <c:crosses val="autoZero"/>
        <c:auto val="1"/>
        <c:lblAlgn val="ctr"/>
        <c:lblOffset val="100"/>
        <c:noMultiLvlLbl val="0"/>
      </c:catAx>
      <c:valAx>
        <c:axId val="110063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[hospital_dataset.xlsx]Table!PivotTable13</c:name>
    <c:fmtId val="7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Tl</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0.13593470981672665"/>
              <c:y val="8.9933203641777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s>
    <c:plotArea>
      <c:layout/>
      <c:pieChart>
        <c:varyColors val="1"/>
        <c:ser>
          <c:idx val="0"/>
          <c:order val="0"/>
          <c:tx>
            <c:strRef>
              <c:f>Table!$B$159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25-42A9-8447-60C0C1779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25-42A9-8447-60C0C17791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25-42A9-8447-60C0C17791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25-42A9-8447-60C0C17791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25-42A9-8447-60C0C17791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25-42A9-8447-60C0C17791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E25-42A9-8447-60C0C17791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E25-42A9-8447-60C0C177916D}"/>
              </c:ext>
            </c:extLst>
          </c:dPt>
          <c:dLbls>
            <c:dLbl>
              <c:idx val="1"/>
              <c:layout>
                <c:manualLayout>
                  <c:x val="-0.13593470981672665"/>
                  <c:y val="8.993320364177734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25-42A9-8447-60C0C17791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Table!$A$160:$A$168</c:f>
              <c:strCache>
                <c:ptCount val="8"/>
                <c:pt idx="0">
                  <c:v>Dr. Aditi Verma</c:v>
                </c:pt>
                <c:pt idx="1">
                  <c:v>Dr. Amit Patel</c:v>
                </c:pt>
                <c:pt idx="2">
                  <c:v>Dr. Karan Singh</c:v>
                </c:pt>
                <c:pt idx="3">
                  <c:v>Dr. Neha Joshi</c:v>
                </c:pt>
                <c:pt idx="4">
                  <c:v>Dr. Priya Shah</c:v>
                </c:pt>
                <c:pt idx="5">
                  <c:v>Dr. Rajesh Mehta</c:v>
                </c:pt>
                <c:pt idx="6">
                  <c:v>Dr. Sneha Desai</c:v>
                </c:pt>
                <c:pt idx="7">
                  <c:v>Dr. Vivek Sharma</c:v>
                </c:pt>
              </c:strCache>
            </c:strRef>
          </c:cat>
          <c:val>
            <c:numRef>
              <c:f>Table!$B$160:$B$168</c:f>
              <c:numCache>
                <c:formatCode>0.00%</c:formatCode>
                <c:ptCount val="8"/>
                <c:pt idx="0">
                  <c:v>0.11992734604777497</c:v>
                </c:pt>
                <c:pt idx="1">
                  <c:v>0.12278992202005674</c:v>
                </c:pt>
                <c:pt idx="2">
                  <c:v>0.11903916814557453</c:v>
                </c:pt>
                <c:pt idx="3">
                  <c:v>0.10581366209631263</c:v>
                </c:pt>
                <c:pt idx="4">
                  <c:v>0.15125231289652516</c:v>
                </c:pt>
                <c:pt idx="5">
                  <c:v>0.13066591551606674</c:v>
                </c:pt>
                <c:pt idx="6">
                  <c:v>0.12138151464519351</c:v>
                </c:pt>
                <c:pt idx="7">
                  <c:v>0.12913015863249572</c:v>
                </c:pt>
              </c:numCache>
            </c:numRef>
          </c:val>
          <c:extLst>
            <c:ext xmlns:c16="http://schemas.microsoft.com/office/drawing/2014/chart" uri="{C3380CC4-5D6E-409C-BE32-E72D297353CC}">
              <c16:uniqueId val="{00000010-0E25-42A9-8447-60C0C177916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[hospital_dataset.xlsx]Table!PivotTable14</c:name>
    <c:fmtId val="82"/>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Table!$B$172</c:f>
              <c:strCache>
                <c:ptCount val="1"/>
                <c:pt idx="0">
                  <c:v>Total</c:v>
                </c:pt>
              </c:strCache>
            </c:strRef>
          </c:tx>
          <c:spPr>
            <a:solidFill>
              <a:srgbClr val="00B050"/>
            </a:solidFill>
            <a:ln>
              <a:noFill/>
            </a:ln>
            <a:effectLst/>
          </c:spPr>
          <c:invertIfNegative val="0"/>
          <c:cat>
            <c:strRef>
              <c:f>Table!$A$173:$A$183</c:f>
              <c:strCache>
                <c:ptCount val="10"/>
                <c:pt idx="0">
                  <c:v>Ahmedabad</c:v>
                </c:pt>
                <c:pt idx="1">
                  <c:v>Delhi</c:v>
                </c:pt>
                <c:pt idx="2">
                  <c:v>Indore</c:v>
                </c:pt>
                <c:pt idx="3">
                  <c:v>Jaipur</c:v>
                </c:pt>
                <c:pt idx="4">
                  <c:v>Lucknow</c:v>
                </c:pt>
                <c:pt idx="5">
                  <c:v>Mumbai</c:v>
                </c:pt>
                <c:pt idx="6">
                  <c:v>Pune</c:v>
                </c:pt>
                <c:pt idx="7">
                  <c:v>Rajkot</c:v>
                </c:pt>
                <c:pt idx="8">
                  <c:v>Surat</c:v>
                </c:pt>
                <c:pt idx="9">
                  <c:v>Vadodara</c:v>
                </c:pt>
              </c:strCache>
            </c:strRef>
          </c:cat>
          <c:val>
            <c:numRef>
              <c:f>Table!$B$173:$B$183</c:f>
              <c:numCache>
                <c:formatCode>General</c:formatCode>
                <c:ptCount val="10"/>
                <c:pt idx="0">
                  <c:v>1566014</c:v>
                </c:pt>
                <c:pt idx="1">
                  <c:v>1518255</c:v>
                </c:pt>
                <c:pt idx="2">
                  <c:v>1526800</c:v>
                </c:pt>
                <c:pt idx="3">
                  <c:v>1743844</c:v>
                </c:pt>
                <c:pt idx="4">
                  <c:v>1262158</c:v>
                </c:pt>
                <c:pt idx="5">
                  <c:v>1538725</c:v>
                </c:pt>
                <c:pt idx="6">
                  <c:v>1672825</c:v>
                </c:pt>
                <c:pt idx="7">
                  <c:v>1615332</c:v>
                </c:pt>
                <c:pt idx="8">
                  <c:v>1721610</c:v>
                </c:pt>
                <c:pt idx="9">
                  <c:v>1437167</c:v>
                </c:pt>
              </c:numCache>
            </c:numRef>
          </c:val>
          <c:extLst>
            <c:ext xmlns:c16="http://schemas.microsoft.com/office/drawing/2014/chart" uri="{C3380CC4-5D6E-409C-BE32-E72D297353CC}">
              <c16:uniqueId val="{00000000-47DB-4EBC-BBF5-20CFDA4BC2BA}"/>
            </c:ext>
          </c:extLst>
        </c:ser>
        <c:dLbls>
          <c:showLegendKey val="0"/>
          <c:showVal val="0"/>
          <c:showCatName val="0"/>
          <c:showSerName val="0"/>
          <c:showPercent val="0"/>
          <c:showBubbleSize val="0"/>
        </c:dLbls>
        <c:gapWidth val="182"/>
        <c:axId val="846617919"/>
        <c:axId val="846639999"/>
      </c:barChart>
      <c:catAx>
        <c:axId val="84661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39999"/>
        <c:crosses val="autoZero"/>
        <c:auto val="1"/>
        <c:lblAlgn val="ctr"/>
        <c:lblOffset val="100"/>
        <c:noMultiLvlLbl val="0"/>
      </c:catAx>
      <c:valAx>
        <c:axId val="84663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1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hyperlink" Target="#Home!A1"/><Relationship Id="rId21" Type="http://schemas.openxmlformats.org/officeDocument/2006/relationships/image" Target="../media/image14.svg"/><Relationship Id="rId7" Type="http://schemas.openxmlformats.org/officeDocument/2006/relationships/chart" Target="../charts/chart8.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hyperlink" Target="#Profits!A1"/><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hyperlink" Target="#DR!A1"/><Relationship Id="rId9" Type="http://schemas.openxmlformats.org/officeDocument/2006/relationships/chart" Target="../charts/chart10.xml"/><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8.svg"/><Relationship Id="rId18" Type="http://schemas.openxmlformats.org/officeDocument/2006/relationships/image" Target="../media/image21.png"/><Relationship Id="rId3" Type="http://schemas.openxmlformats.org/officeDocument/2006/relationships/hyperlink" Target="#Home!A1"/><Relationship Id="rId7" Type="http://schemas.openxmlformats.org/officeDocument/2006/relationships/chart" Target="../charts/chart13.xml"/><Relationship Id="rId12" Type="http://schemas.openxmlformats.org/officeDocument/2006/relationships/image" Target="../media/image7.png"/><Relationship Id="rId17"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18.svg"/><Relationship Id="rId5" Type="http://schemas.openxmlformats.org/officeDocument/2006/relationships/chart" Target="../charts/chart11.xml"/><Relationship Id="rId15" Type="http://schemas.openxmlformats.org/officeDocument/2006/relationships/image" Target="../media/image10.svg"/><Relationship Id="rId10" Type="http://schemas.openxmlformats.org/officeDocument/2006/relationships/image" Target="../media/image17.png"/><Relationship Id="rId19" Type="http://schemas.openxmlformats.org/officeDocument/2006/relationships/image" Target="../media/image22.svg"/><Relationship Id="rId4" Type="http://schemas.openxmlformats.org/officeDocument/2006/relationships/hyperlink" Target="#Profits!A1"/><Relationship Id="rId9" Type="http://schemas.openxmlformats.org/officeDocument/2006/relationships/image" Target="../media/image16.svg"/><Relationship Id="rId14"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5.xml"/><Relationship Id="rId3" Type="http://schemas.openxmlformats.org/officeDocument/2006/relationships/hyperlink" Target="#Home!A1"/><Relationship Id="rId7" Type="http://schemas.openxmlformats.org/officeDocument/2006/relationships/image" Target="../media/image16.svg"/><Relationship Id="rId12" Type="http://schemas.openxmlformats.org/officeDocument/2006/relationships/chart" Target="../charts/chart14.xml"/><Relationship Id="rId17"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image" Target="../media/image25.png"/><Relationship Id="rId1" Type="http://schemas.openxmlformats.org/officeDocument/2006/relationships/image" Target="../media/image1.png"/><Relationship Id="rId6" Type="http://schemas.openxmlformats.org/officeDocument/2006/relationships/image" Target="../media/image15.png"/><Relationship Id="rId11" Type="http://schemas.openxmlformats.org/officeDocument/2006/relationships/image" Target="../media/image24.svg"/><Relationship Id="rId5" Type="http://schemas.openxmlformats.org/officeDocument/2006/relationships/hyperlink" Target="#Profits!A1"/><Relationship Id="rId15" Type="http://schemas.openxmlformats.org/officeDocument/2006/relationships/chart" Target="../charts/chart17.xml"/><Relationship Id="rId10" Type="http://schemas.openxmlformats.org/officeDocument/2006/relationships/image" Target="../media/image23.png"/><Relationship Id="rId4" Type="http://schemas.openxmlformats.org/officeDocument/2006/relationships/hyperlink" Target="#DR!A1"/><Relationship Id="rId9" Type="http://schemas.openxmlformats.org/officeDocument/2006/relationships/image" Target="../media/image6.sv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2</xdr:row>
      <xdr:rowOff>22860</xdr:rowOff>
    </xdr:from>
    <xdr:to>
      <xdr:col>11</xdr:col>
      <xdr:colOff>121920</xdr:colOff>
      <xdr:row>7</xdr:row>
      <xdr:rowOff>0</xdr:rowOff>
    </xdr:to>
    <mc:AlternateContent xmlns:mc="http://schemas.openxmlformats.org/markup-compatibility/2006">
      <mc:Choice xmlns:tsle="http://schemas.microsoft.com/office/drawing/2012/timeslicer" Requires="tsle">
        <xdr:graphicFrame macro="">
          <xdr:nvGraphicFramePr>
            <xdr:cNvPr id="4" name="Admission_Date">
              <a:extLst>
                <a:ext uri="{FF2B5EF4-FFF2-40B4-BE49-F238E27FC236}">
                  <a16:creationId xmlns:a16="http://schemas.microsoft.com/office/drawing/2014/main" id="{0EDF0F5D-D82A-4E2D-A7AE-22B753841F9A}"/>
                </a:ext>
              </a:extLst>
            </xdr:cNvPr>
            <xdr:cNvGraphicFramePr/>
          </xdr:nvGraphicFramePr>
          <xdr:xfrm>
            <a:off x="0" y="0"/>
            <a:ext cx="0" cy="0"/>
          </xdr:xfrm>
          <a:graphic>
            <a:graphicData uri="http://schemas.microsoft.com/office/drawing/2012/timeslicer">
              <tsle:timeslicer xmlns:tsle="http://schemas.microsoft.com/office/drawing/2012/timeslicer" name="Admission_Date"/>
            </a:graphicData>
          </a:graphic>
        </xdr:graphicFrame>
      </mc:Choice>
      <mc:Fallback>
        <xdr:sp macro="" textlink="">
          <xdr:nvSpPr>
            <xdr:cNvPr id="0" name=""/>
            <xdr:cNvSpPr>
              <a:spLocks noTextEdit="1"/>
            </xdr:cNvSpPr>
          </xdr:nvSpPr>
          <xdr:spPr>
            <a:xfrm>
              <a:off x="2331720" y="388620"/>
              <a:ext cx="5532120" cy="891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281940</xdr:colOff>
      <xdr:row>15</xdr:row>
      <xdr:rowOff>72390</xdr:rowOff>
    </xdr:from>
    <xdr:to>
      <xdr:col>13</xdr:col>
      <xdr:colOff>586740</xdr:colOff>
      <xdr:row>30</xdr:row>
      <xdr:rowOff>72390</xdr:rowOff>
    </xdr:to>
    <xdr:graphicFrame macro="">
      <xdr:nvGraphicFramePr>
        <xdr:cNvPr id="7" name="Chart 6">
          <a:extLst>
            <a:ext uri="{FF2B5EF4-FFF2-40B4-BE49-F238E27FC236}">
              <a16:creationId xmlns:a16="http://schemas.microsoft.com/office/drawing/2014/main" id="{7F7C49B3-1F25-E81F-0AE3-733794613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29</xdr:row>
      <xdr:rowOff>87630</xdr:rowOff>
    </xdr:from>
    <xdr:to>
      <xdr:col>10</xdr:col>
      <xdr:colOff>525780</xdr:colOff>
      <xdr:row>44</xdr:row>
      <xdr:rowOff>87630</xdr:rowOff>
    </xdr:to>
    <xdr:graphicFrame macro="">
      <xdr:nvGraphicFramePr>
        <xdr:cNvPr id="8" name="Chart 7">
          <a:extLst>
            <a:ext uri="{FF2B5EF4-FFF2-40B4-BE49-F238E27FC236}">
              <a16:creationId xmlns:a16="http://schemas.microsoft.com/office/drawing/2014/main" id="{DE33AA35-F13A-4667-6D54-E911D0611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304800</xdr:colOff>
      <xdr:row>33</xdr:row>
      <xdr:rowOff>167640</xdr:rowOff>
    </xdr:from>
    <xdr:to>
      <xdr:col>14</xdr:col>
      <xdr:colOff>304800</xdr:colOff>
      <xdr:row>47</xdr:row>
      <xdr:rowOff>74295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BF2A706E-AE85-BDF8-A1A7-6ECE5E39E79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46720" y="620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281940</xdr:colOff>
      <xdr:row>57</xdr:row>
      <xdr:rowOff>80010</xdr:rowOff>
    </xdr:from>
    <xdr:to>
      <xdr:col>10</xdr:col>
      <xdr:colOff>601980</xdr:colOff>
      <xdr:row>74</xdr:row>
      <xdr:rowOff>7620</xdr:rowOff>
    </xdr:to>
    <xdr:graphicFrame macro="">
      <xdr:nvGraphicFramePr>
        <xdr:cNvPr id="10" name="Chart 9">
          <a:extLst>
            <a:ext uri="{FF2B5EF4-FFF2-40B4-BE49-F238E27FC236}">
              <a16:creationId xmlns:a16="http://schemas.microsoft.com/office/drawing/2014/main" id="{1DF02A78-1271-6939-10F8-869800B48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76</xdr:row>
      <xdr:rowOff>179070</xdr:rowOff>
    </xdr:from>
    <xdr:to>
      <xdr:col>12</xdr:col>
      <xdr:colOff>0</xdr:colOff>
      <xdr:row>91</xdr:row>
      <xdr:rowOff>179070</xdr:rowOff>
    </xdr:to>
    <xdr:graphicFrame macro="">
      <xdr:nvGraphicFramePr>
        <xdr:cNvPr id="11" name="Chart 10">
          <a:extLst>
            <a:ext uri="{FF2B5EF4-FFF2-40B4-BE49-F238E27FC236}">
              <a16:creationId xmlns:a16="http://schemas.microsoft.com/office/drawing/2014/main" id="{B30ABC7C-A9E6-7768-5400-9C22E06D4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350520</xdr:colOff>
      <xdr:row>76</xdr:row>
      <xdr:rowOff>15240</xdr:rowOff>
    </xdr:from>
    <xdr:to>
      <xdr:col>15</xdr:col>
      <xdr:colOff>342900</xdr:colOff>
      <xdr:row>89</xdr:row>
      <xdr:rowOff>19050</xdr:rowOff>
    </xdr:to>
    <xdr:graphicFrame macro="">
      <xdr:nvGraphicFramePr>
        <xdr:cNvPr id="12" name="Chart 11">
          <a:extLst>
            <a:ext uri="{FF2B5EF4-FFF2-40B4-BE49-F238E27FC236}">
              <a16:creationId xmlns:a16="http://schemas.microsoft.com/office/drawing/2014/main" id="{F3D4BFB4-AE4B-F5DD-37AE-1FAE0F81D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426720</xdr:colOff>
      <xdr:row>102</xdr:row>
      <xdr:rowOff>102870</xdr:rowOff>
    </xdr:from>
    <xdr:to>
      <xdr:col>11</xdr:col>
      <xdr:colOff>121920</xdr:colOff>
      <xdr:row>117</xdr:row>
      <xdr:rowOff>102870</xdr:rowOff>
    </xdr:to>
    <xdr:graphicFrame macro="">
      <xdr:nvGraphicFramePr>
        <xdr:cNvPr id="13" name="Chart 12">
          <a:extLst>
            <a:ext uri="{FF2B5EF4-FFF2-40B4-BE49-F238E27FC236}">
              <a16:creationId xmlns:a16="http://schemas.microsoft.com/office/drawing/2014/main" id="{F9B0D5CB-817B-02F1-24F2-9D072DB4C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28754</xdr:colOff>
      <xdr:row>47</xdr:row>
      <xdr:rowOff>16566</xdr:rowOff>
    </xdr:to>
    <xdr:sp macro="" textlink="">
      <xdr:nvSpPr>
        <xdr:cNvPr id="2" name="Rectangle 1">
          <a:extLst>
            <a:ext uri="{FF2B5EF4-FFF2-40B4-BE49-F238E27FC236}">
              <a16:creationId xmlns:a16="http://schemas.microsoft.com/office/drawing/2014/main" id="{AD85F4D1-3E2E-5A9E-7F00-4A378AEB3968}"/>
            </a:ext>
          </a:extLst>
        </xdr:cNvPr>
        <xdr:cNvSpPr/>
      </xdr:nvSpPr>
      <xdr:spPr>
        <a:xfrm>
          <a:off x="0" y="0"/>
          <a:ext cx="17540377" cy="88011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190500</xdr:colOff>
      <xdr:row>0</xdr:row>
      <xdr:rowOff>71439</xdr:rowOff>
    </xdr:from>
    <xdr:to>
      <xdr:col>16</xdr:col>
      <xdr:colOff>369093</xdr:colOff>
      <xdr:row>5</xdr:row>
      <xdr:rowOff>83345</xdr:rowOff>
    </xdr:to>
    <xdr:sp macro="" textlink="">
      <xdr:nvSpPr>
        <xdr:cNvPr id="4" name="Rectangle: Rounded Corners 3">
          <a:extLst>
            <a:ext uri="{FF2B5EF4-FFF2-40B4-BE49-F238E27FC236}">
              <a16:creationId xmlns:a16="http://schemas.microsoft.com/office/drawing/2014/main" id="{77E40E23-42F7-5547-910B-2C4B7397F60C}"/>
            </a:ext>
          </a:extLst>
        </xdr:cNvPr>
        <xdr:cNvSpPr/>
      </xdr:nvSpPr>
      <xdr:spPr>
        <a:xfrm>
          <a:off x="190500" y="71439"/>
          <a:ext cx="9840178" cy="946434"/>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solidFill>
                <a:srgbClr val="00B050"/>
              </a:solidFill>
            </a:rPr>
            <a:t>CITY </a:t>
          </a:r>
          <a:r>
            <a:rPr lang="en-US" sz="4000" b="1">
              <a:solidFill>
                <a:srgbClr val="00B050"/>
              </a:solidFill>
            </a:rPr>
            <a:t>HOSPITAL-AHEMDABAD </a:t>
          </a:r>
          <a:endParaRPr lang="en-IN" sz="4000" b="1">
            <a:solidFill>
              <a:srgbClr val="00B050"/>
            </a:solidFill>
          </a:endParaRPr>
        </a:p>
      </xdr:txBody>
    </xdr:sp>
    <xdr:clientData/>
  </xdr:twoCellAnchor>
  <xdr:twoCellAnchor editAs="oneCell">
    <xdr:from>
      <xdr:col>1</xdr:col>
      <xdr:colOff>261938</xdr:colOff>
      <xdr:row>0</xdr:row>
      <xdr:rowOff>0</xdr:rowOff>
    </xdr:from>
    <xdr:to>
      <xdr:col>2</xdr:col>
      <xdr:colOff>569119</xdr:colOff>
      <xdr:row>5</xdr:row>
      <xdr:rowOff>21431</xdr:rowOff>
    </xdr:to>
    <xdr:pic>
      <xdr:nvPicPr>
        <xdr:cNvPr id="6" name="Graphic 5" descr="Medical with solid fill">
          <a:extLst>
            <a:ext uri="{FF2B5EF4-FFF2-40B4-BE49-F238E27FC236}">
              <a16:creationId xmlns:a16="http://schemas.microsoft.com/office/drawing/2014/main" id="{A79A2004-3CE8-A3FA-3D78-401071633D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9157" y="0"/>
          <a:ext cx="914400" cy="914400"/>
        </a:xfrm>
        <a:prstGeom prst="rect">
          <a:avLst/>
        </a:prstGeom>
      </xdr:spPr>
    </xdr:pic>
    <xdr:clientData/>
  </xdr:twoCellAnchor>
  <xdr:twoCellAnchor editAs="oneCell">
    <xdr:from>
      <xdr:col>14</xdr:col>
      <xdr:colOff>71438</xdr:colOff>
      <xdr:row>0</xdr:row>
      <xdr:rowOff>23813</xdr:rowOff>
    </xdr:from>
    <xdr:to>
      <xdr:col>15</xdr:col>
      <xdr:colOff>378620</xdr:colOff>
      <xdr:row>5</xdr:row>
      <xdr:rowOff>45244</xdr:rowOff>
    </xdr:to>
    <xdr:pic>
      <xdr:nvPicPr>
        <xdr:cNvPr id="7" name="Graphic 6" descr="Medical with solid fill">
          <a:extLst>
            <a:ext uri="{FF2B5EF4-FFF2-40B4-BE49-F238E27FC236}">
              <a16:creationId xmlns:a16="http://schemas.microsoft.com/office/drawing/2014/main" id="{E1148A23-EEA4-461A-99FA-6DC23E3B02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01" y="23813"/>
          <a:ext cx="914400" cy="914400"/>
        </a:xfrm>
        <a:prstGeom prst="rect">
          <a:avLst/>
        </a:prstGeom>
      </xdr:spPr>
    </xdr:pic>
    <xdr:clientData/>
  </xdr:twoCellAnchor>
  <xdr:twoCellAnchor>
    <xdr:from>
      <xdr:col>17</xdr:col>
      <xdr:colOff>226220</xdr:colOff>
      <xdr:row>0</xdr:row>
      <xdr:rowOff>71437</xdr:rowOff>
    </xdr:from>
    <xdr:to>
      <xdr:col>20</xdr:col>
      <xdr:colOff>253999</xdr:colOff>
      <xdr:row>5</xdr:row>
      <xdr:rowOff>83343</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FA3767DE-61E8-4A5E-A5B0-BE1BBAB8C922}"/>
            </a:ext>
          </a:extLst>
        </xdr:cNvPr>
        <xdr:cNvSpPr/>
      </xdr:nvSpPr>
      <xdr:spPr>
        <a:xfrm>
          <a:off x="10481470" y="71437"/>
          <a:ext cx="1837529" cy="964406"/>
        </a:xfrm>
        <a:prstGeom prst="roundRect">
          <a:avLst/>
        </a:prstGeom>
        <a:solidFill>
          <a:srgbClr val="00B05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chemeClr val="bg1"/>
              </a:solidFill>
            </a:rPr>
            <a:t>     HOME</a:t>
          </a:r>
        </a:p>
      </xdr:txBody>
    </xdr:sp>
    <xdr:clientData/>
  </xdr:twoCellAnchor>
  <xdr:twoCellAnchor>
    <xdr:from>
      <xdr:col>20</xdr:col>
      <xdr:colOff>438152</xdr:colOff>
      <xdr:row>0</xdr:row>
      <xdr:rowOff>69056</xdr:rowOff>
    </xdr:from>
    <xdr:to>
      <xdr:col>23</xdr:col>
      <xdr:colOff>247650</xdr:colOff>
      <xdr:row>5</xdr:row>
      <xdr:rowOff>80962</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87F12B95-0DB7-421D-AD5D-D54E6F9C1AB0}"/>
            </a:ext>
          </a:extLst>
        </xdr:cNvPr>
        <xdr:cNvSpPr/>
      </xdr:nvSpPr>
      <xdr:spPr>
        <a:xfrm>
          <a:off x="12515133" y="69056"/>
          <a:ext cx="1621045" cy="946434"/>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rgbClr val="00B050"/>
              </a:solidFill>
            </a:rPr>
            <a:t>      DR</a:t>
          </a:r>
        </a:p>
      </xdr:txBody>
    </xdr:sp>
    <xdr:clientData/>
  </xdr:twoCellAnchor>
  <xdr:twoCellAnchor>
    <xdr:from>
      <xdr:col>23</xdr:col>
      <xdr:colOff>595495</xdr:colOff>
      <xdr:row>0</xdr:row>
      <xdr:rowOff>71616</xdr:rowOff>
    </xdr:from>
    <xdr:to>
      <xdr:col>26</xdr:col>
      <xdr:colOff>404992</xdr:colOff>
      <xdr:row>5</xdr:row>
      <xdr:rowOff>83522</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223FAC87-E30A-4C3D-8429-7911B023FFF8}"/>
            </a:ext>
          </a:extLst>
        </xdr:cNvPr>
        <xdr:cNvSpPr/>
      </xdr:nvSpPr>
      <xdr:spPr>
        <a:xfrm>
          <a:off x="14484023" y="71616"/>
          <a:ext cx="1621044" cy="946434"/>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b="1">
              <a:solidFill>
                <a:srgbClr val="00B050"/>
              </a:solidFill>
            </a:rPr>
            <a:t>   PROFI</a:t>
          </a:r>
          <a:r>
            <a:rPr lang="en-US" sz="4000" b="1">
              <a:solidFill>
                <a:srgbClr val="00B050"/>
              </a:solidFill>
            </a:rPr>
            <a:t> </a:t>
          </a:r>
          <a:endParaRPr lang="en-IN" sz="4000" b="1">
            <a:solidFill>
              <a:srgbClr val="00B050"/>
            </a:solidFill>
          </a:endParaRPr>
        </a:p>
      </xdr:txBody>
    </xdr:sp>
    <xdr:clientData/>
  </xdr:twoCellAnchor>
  <xdr:twoCellAnchor>
    <xdr:from>
      <xdr:col>17</xdr:col>
      <xdr:colOff>214313</xdr:colOff>
      <xdr:row>7</xdr:row>
      <xdr:rowOff>35719</xdr:rowOff>
    </xdr:from>
    <xdr:to>
      <xdr:col>26</xdr:col>
      <xdr:colOff>238126</xdr:colOff>
      <xdr:row>12</xdr:row>
      <xdr:rowOff>95250</xdr:rowOff>
    </xdr:to>
    <xdr:sp macro="" textlink="">
      <xdr:nvSpPr>
        <xdr:cNvPr id="10" name="Rectangle: Rounded Corners 9">
          <a:extLst>
            <a:ext uri="{FF2B5EF4-FFF2-40B4-BE49-F238E27FC236}">
              <a16:creationId xmlns:a16="http://schemas.microsoft.com/office/drawing/2014/main" id="{77F664F5-20DA-4295-9DCF-10DAE129B78C}"/>
            </a:ext>
          </a:extLst>
        </xdr:cNvPr>
        <xdr:cNvSpPr/>
      </xdr:nvSpPr>
      <xdr:spPr>
        <a:xfrm>
          <a:off x="10537032" y="1285875"/>
          <a:ext cx="5488782" cy="9525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4000" b="1">
            <a:solidFill>
              <a:srgbClr val="00B050"/>
            </a:solidFill>
          </a:endParaRPr>
        </a:p>
      </xdr:txBody>
    </xdr:sp>
    <xdr:clientData/>
  </xdr:twoCellAnchor>
  <xdr:twoCellAnchor editAs="oneCell">
    <xdr:from>
      <xdr:col>17</xdr:col>
      <xdr:colOff>238126</xdr:colOff>
      <xdr:row>7</xdr:row>
      <xdr:rowOff>47625</xdr:rowOff>
    </xdr:from>
    <xdr:to>
      <xdr:col>26</xdr:col>
      <xdr:colOff>202407</xdr:colOff>
      <xdr:row>12</xdr:row>
      <xdr:rowOff>71438</xdr:rowOff>
    </xdr:to>
    <mc:AlternateContent xmlns:mc="http://schemas.openxmlformats.org/markup-compatibility/2006">
      <mc:Choice xmlns:tsle="http://schemas.microsoft.com/office/drawing/2012/timeslicer" Requires="tsle">
        <xdr:graphicFrame macro="">
          <xdr:nvGraphicFramePr>
            <xdr:cNvPr id="9" name="Admission_Date 1">
              <a:extLst>
                <a:ext uri="{FF2B5EF4-FFF2-40B4-BE49-F238E27FC236}">
                  <a16:creationId xmlns:a16="http://schemas.microsoft.com/office/drawing/2014/main" id="{86A3A518-B40E-413C-8C74-92EBC1499569}"/>
                </a:ext>
              </a:extLst>
            </xdr:cNvPr>
            <xdr:cNvGraphicFramePr/>
          </xdr:nvGraphicFramePr>
          <xdr:xfrm>
            <a:off x="0" y="0"/>
            <a:ext cx="0" cy="0"/>
          </xdr:xfrm>
          <a:graphic>
            <a:graphicData uri="http://schemas.microsoft.com/office/drawing/2012/timeslicer">
              <tsle:timeslicer xmlns:tsle="http://schemas.microsoft.com/office/drawing/2012/timeslicer" name="Admission_Date 1"/>
            </a:graphicData>
          </a:graphic>
        </xdr:graphicFrame>
      </mc:Choice>
      <mc:Fallback>
        <xdr:sp macro="" textlink="">
          <xdr:nvSpPr>
            <xdr:cNvPr id="0" name=""/>
            <xdr:cNvSpPr>
              <a:spLocks noTextEdit="1"/>
            </xdr:cNvSpPr>
          </xdr:nvSpPr>
          <xdr:spPr>
            <a:xfrm>
              <a:off x="10503560" y="1355965"/>
              <a:ext cx="5398922" cy="958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52567</xdr:colOff>
      <xdr:row>7</xdr:row>
      <xdr:rowOff>37290</xdr:rowOff>
    </xdr:from>
    <xdr:to>
      <xdr:col>4</xdr:col>
      <xdr:colOff>147818</xdr:colOff>
      <xdr:row>12</xdr:row>
      <xdr:rowOff>37291</xdr:rowOff>
    </xdr:to>
    <xdr:sp macro="" textlink="Table!C74">
      <xdr:nvSpPr>
        <xdr:cNvPr id="11" name="Rectangle: Rounded Corners 10">
          <a:extLst>
            <a:ext uri="{FF2B5EF4-FFF2-40B4-BE49-F238E27FC236}">
              <a16:creationId xmlns:a16="http://schemas.microsoft.com/office/drawing/2014/main" id="{99666C0C-3918-CD09-7A4C-7EE3BECC252D}"/>
            </a:ext>
          </a:extLst>
        </xdr:cNvPr>
        <xdr:cNvSpPr/>
      </xdr:nvSpPr>
      <xdr:spPr>
        <a:xfrm>
          <a:off x="656416" y="1345630"/>
          <a:ext cx="1906798" cy="93452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TOTAL</a:t>
          </a:r>
        </a:p>
        <a:p>
          <a:pPr algn="ctr"/>
          <a:fld id="{4BC88A35-8AB4-4C24-8629-EDF1C64CFC53}" type="TxLink">
            <a:rPr lang="en-US" sz="2400" b="1" i="0" u="none" strike="noStrike">
              <a:solidFill>
                <a:schemeClr val="bg1"/>
              </a:solidFill>
              <a:latin typeface="Calibri"/>
              <a:cs typeface="Calibri"/>
            </a:rPr>
            <a:t>1000</a:t>
          </a:fld>
          <a:endParaRPr lang="en-IN" sz="2400" b="1">
            <a:solidFill>
              <a:schemeClr val="bg1"/>
            </a:solidFill>
          </a:endParaRPr>
        </a:p>
      </xdr:txBody>
    </xdr:sp>
    <xdr:clientData/>
  </xdr:twoCellAnchor>
  <xdr:twoCellAnchor>
    <xdr:from>
      <xdr:col>4</xdr:col>
      <xdr:colOff>595312</xdr:colOff>
      <xdr:row>7</xdr:row>
      <xdr:rowOff>23812</xdr:rowOff>
    </xdr:from>
    <xdr:to>
      <xdr:col>8</xdr:col>
      <xdr:colOff>130969</xdr:colOff>
      <xdr:row>12</xdr:row>
      <xdr:rowOff>23812</xdr:rowOff>
    </xdr:to>
    <xdr:sp macro="" textlink="Table!C73">
      <xdr:nvSpPr>
        <xdr:cNvPr id="12" name="Rectangle: Rounded Corners 11">
          <a:extLst>
            <a:ext uri="{FF2B5EF4-FFF2-40B4-BE49-F238E27FC236}">
              <a16:creationId xmlns:a16="http://schemas.microsoft.com/office/drawing/2014/main" id="{5DCF93FA-DD51-4FED-9904-835C9648A5FF}"/>
            </a:ext>
          </a:extLst>
        </xdr:cNvPr>
        <xdr:cNvSpPr/>
      </xdr:nvSpPr>
      <xdr:spPr>
        <a:xfrm>
          <a:off x="3010708" y="1332152"/>
          <a:ext cx="1951053" cy="9345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MALE</a:t>
          </a:r>
        </a:p>
        <a:p>
          <a:pPr algn="ctr"/>
          <a:fld id="{900EC501-F871-4C04-81DB-4B246BAA38CC}" type="TxLink">
            <a:rPr lang="en-US" sz="2400" b="1" i="0" u="none" strike="noStrike">
              <a:solidFill>
                <a:schemeClr val="bg1"/>
              </a:solidFill>
              <a:latin typeface="Calibri"/>
              <a:cs typeface="Calibri"/>
            </a:rPr>
            <a:t>516</a:t>
          </a:fld>
          <a:endParaRPr lang="en-IN" sz="2400" b="1">
            <a:solidFill>
              <a:schemeClr val="bg1"/>
            </a:solidFill>
          </a:endParaRPr>
        </a:p>
      </xdr:txBody>
    </xdr:sp>
    <xdr:clientData/>
  </xdr:twoCellAnchor>
  <xdr:twoCellAnchor>
    <xdr:from>
      <xdr:col>8</xdr:col>
      <xdr:colOff>559593</xdr:colOff>
      <xdr:row>7</xdr:row>
      <xdr:rowOff>35718</xdr:rowOff>
    </xdr:from>
    <xdr:to>
      <xdr:col>12</xdr:col>
      <xdr:colOff>142875</xdr:colOff>
      <xdr:row>12</xdr:row>
      <xdr:rowOff>35718</xdr:rowOff>
    </xdr:to>
    <xdr:sp macro="" textlink="Table!C72">
      <xdr:nvSpPr>
        <xdr:cNvPr id="13" name="Rectangle: Rounded Corners 12">
          <a:extLst>
            <a:ext uri="{FF2B5EF4-FFF2-40B4-BE49-F238E27FC236}">
              <a16:creationId xmlns:a16="http://schemas.microsoft.com/office/drawing/2014/main" id="{2C300105-C09D-47E2-9DAA-953E1CC59699}"/>
            </a:ext>
          </a:extLst>
        </xdr:cNvPr>
        <xdr:cNvSpPr/>
      </xdr:nvSpPr>
      <xdr:spPr>
        <a:xfrm>
          <a:off x="5390385" y="1344058"/>
          <a:ext cx="1998679" cy="9345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FEMALE</a:t>
          </a:r>
        </a:p>
        <a:p>
          <a:pPr algn="ctr"/>
          <a:fld id="{A6DCA12E-C456-4161-9CF2-57265152AA00}" type="TxLink">
            <a:rPr lang="en-US" sz="2400" b="1" i="0" u="none" strike="noStrike">
              <a:solidFill>
                <a:schemeClr val="bg1"/>
              </a:solidFill>
              <a:latin typeface="Calibri"/>
              <a:cs typeface="Calibri"/>
            </a:rPr>
            <a:t>484</a:t>
          </a:fld>
          <a:endParaRPr lang="en-IN" sz="2400" b="1">
            <a:solidFill>
              <a:schemeClr val="bg1"/>
            </a:solidFill>
          </a:endParaRPr>
        </a:p>
      </xdr:txBody>
    </xdr:sp>
    <xdr:clientData/>
  </xdr:twoCellAnchor>
  <xdr:twoCellAnchor>
    <xdr:from>
      <xdr:col>5</xdr:col>
      <xdr:colOff>50799</xdr:colOff>
      <xdr:row>14</xdr:row>
      <xdr:rowOff>136525</xdr:rowOff>
    </xdr:from>
    <xdr:to>
      <xdr:col>14</xdr:col>
      <xdr:colOff>443706</xdr:colOff>
      <xdr:row>42</xdr:row>
      <xdr:rowOff>53975</xdr:rowOff>
    </xdr:to>
    <xdr:sp macro="" textlink="">
      <xdr:nvSpPr>
        <xdr:cNvPr id="15" name="Rectangle: Rounded Corners 14">
          <a:extLst>
            <a:ext uri="{FF2B5EF4-FFF2-40B4-BE49-F238E27FC236}">
              <a16:creationId xmlns:a16="http://schemas.microsoft.com/office/drawing/2014/main" id="{F35FD970-CE0B-4875-8CE6-1E943EB20DCE}"/>
            </a:ext>
          </a:extLst>
        </xdr:cNvPr>
        <xdr:cNvSpPr/>
      </xdr:nvSpPr>
      <xdr:spPr>
        <a:xfrm>
          <a:off x="3098799" y="2625725"/>
          <a:ext cx="5879307" cy="489585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162718</xdr:colOff>
      <xdr:row>29</xdr:row>
      <xdr:rowOff>38100</xdr:rowOff>
    </xdr:from>
    <xdr:to>
      <xdr:col>26</xdr:col>
      <xdr:colOff>427830</xdr:colOff>
      <xdr:row>42</xdr:row>
      <xdr:rowOff>88900</xdr:rowOff>
    </xdr:to>
    <xdr:sp macro="" textlink="">
      <xdr:nvSpPr>
        <xdr:cNvPr id="18" name="Rectangle: Rounded Corners 17">
          <a:extLst>
            <a:ext uri="{FF2B5EF4-FFF2-40B4-BE49-F238E27FC236}">
              <a16:creationId xmlns:a16="http://schemas.microsoft.com/office/drawing/2014/main" id="{5C527A87-C9C4-4771-910A-2615972167FD}"/>
            </a:ext>
          </a:extLst>
        </xdr:cNvPr>
        <xdr:cNvSpPr/>
      </xdr:nvSpPr>
      <xdr:spPr>
        <a:xfrm>
          <a:off x="9306718" y="5194300"/>
          <a:ext cx="6970712" cy="236220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508000</xdr:colOff>
      <xdr:row>29</xdr:row>
      <xdr:rowOff>40481</xdr:rowOff>
    </xdr:from>
    <xdr:to>
      <xdr:col>26</xdr:col>
      <xdr:colOff>114300</xdr:colOff>
      <xdr:row>41</xdr:row>
      <xdr:rowOff>158150</xdr:rowOff>
    </xdr:to>
    <xdr:graphicFrame macro="">
      <xdr:nvGraphicFramePr>
        <xdr:cNvPr id="14" name="Chart 13">
          <a:extLst>
            <a:ext uri="{FF2B5EF4-FFF2-40B4-BE49-F238E27FC236}">
              <a16:creationId xmlns:a16="http://schemas.microsoft.com/office/drawing/2014/main" id="{E54D2627-028C-497D-B658-1F3D27AD6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114300</xdr:colOff>
      <xdr:row>15</xdr:row>
      <xdr:rowOff>25400</xdr:rowOff>
    </xdr:from>
    <xdr:to>
      <xdr:col>26</xdr:col>
      <xdr:colOff>379412</xdr:colOff>
      <xdr:row>28</xdr:row>
      <xdr:rowOff>76200</xdr:rowOff>
    </xdr:to>
    <xdr:sp macro="" textlink="">
      <xdr:nvSpPr>
        <xdr:cNvPr id="17" name="Rectangle: Rounded Corners 16">
          <a:extLst>
            <a:ext uri="{FF2B5EF4-FFF2-40B4-BE49-F238E27FC236}">
              <a16:creationId xmlns:a16="http://schemas.microsoft.com/office/drawing/2014/main" id="{C95BBC74-C828-4B5C-8BA3-9B7D334C8D43}"/>
            </a:ext>
          </a:extLst>
        </xdr:cNvPr>
        <xdr:cNvSpPr/>
      </xdr:nvSpPr>
      <xdr:spPr>
        <a:xfrm>
          <a:off x="9258300" y="2692400"/>
          <a:ext cx="6970712" cy="236220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190500</xdr:colOff>
      <xdr:row>16</xdr:row>
      <xdr:rowOff>63500</xdr:rowOff>
    </xdr:from>
    <xdr:to>
      <xdr:col>26</xdr:col>
      <xdr:colOff>215900</xdr:colOff>
      <xdr:row>26</xdr:row>
      <xdr:rowOff>152400</xdr:rowOff>
    </xdr:to>
    <xdr:graphicFrame macro="">
      <xdr:nvGraphicFramePr>
        <xdr:cNvPr id="19" name="Chart 18">
          <a:extLst>
            <a:ext uri="{FF2B5EF4-FFF2-40B4-BE49-F238E27FC236}">
              <a16:creationId xmlns:a16="http://schemas.microsoft.com/office/drawing/2014/main" id="{F0BD9846-F49C-414D-8A76-6C88A8FB9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88900</xdr:colOff>
      <xdr:row>15</xdr:row>
      <xdr:rowOff>50800</xdr:rowOff>
    </xdr:from>
    <xdr:to>
      <xdr:col>4</xdr:col>
      <xdr:colOff>431800</xdr:colOff>
      <xdr:row>42</xdr:row>
      <xdr:rowOff>146050</xdr:rowOff>
    </xdr:to>
    <xdr:sp macro="" textlink="">
      <xdr:nvSpPr>
        <xdr:cNvPr id="25" name="Rectangle: Rounded Corners 24">
          <a:extLst>
            <a:ext uri="{FF2B5EF4-FFF2-40B4-BE49-F238E27FC236}">
              <a16:creationId xmlns:a16="http://schemas.microsoft.com/office/drawing/2014/main" id="{56E3EC4E-0CE6-4DB0-89DB-E952FFA7266B}"/>
            </a:ext>
          </a:extLst>
        </xdr:cNvPr>
        <xdr:cNvSpPr/>
      </xdr:nvSpPr>
      <xdr:spPr>
        <a:xfrm>
          <a:off x="88900" y="2717800"/>
          <a:ext cx="2781300" cy="489585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190501</xdr:colOff>
      <xdr:row>16</xdr:row>
      <xdr:rowOff>76200</xdr:rowOff>
    </xdr:from>
    <xdr:to>
      <xdr:col>4</xdr:col>
      <xdr:colOff>317501</xdr:colOff>
      <xdr:row>41</xdr:row>
      <xdr:rowOff>0</xdr:rowOff>
    </xdr:to>
    <xdr:graphicFrame macro="">
      <xdr:nvGraphicFramePr>
        <xdr:cNvPr id="20" name="Chart 19">
          <a:extLst>
            <a:ext uri="{FF2B5EF4-FFF2-40B4-BE49-F238E27FC236}">
              <a16:creationId xmlns:a16="http://schemas.microsoft.com/office/drawing/2014/main" id="{73C57E96-4E7B-4451-B818-015D47061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152400</xdr:colOff>
      <xdr:row>7</xdr:row>
      <xdr:rowOff>50800</xdr:rowOff>
    </xdr:from>
    <xdr:to>
      <xdr:col>16</xdr:col>
      <xdr:colOff>345282</xdr:colOff>
      <xdr:row>13</xdr:row>
      <xdr:rowOff>63500</xdr:rowOff>
    </xdr:to>
    <xdr:sp macro="" textlink="">
      <xdr:nvSpPr>
        <xdr:cNvPr id="22" name="Rectangle: Rounded Corners 21">
          <a:extLst>
            <a:ext uri="{FF2B5EF4-FFF2-40B4-BE49-F238E27FC236}">
              <a16:creationId xmlns:a16="http://schemas.microsoft.com/office/drawing/2014/main" id="{508742D5-1A81-40F4-AF85-D4E605B34208}"/>
            </a:ext>
          </a:extLst>
        </xdr:cNvPr>
        <xdr:cNvSpPr/>
      </xdr:nvSpPr>
      <xdr:spPr>
        <a:xfrm>
          <a:off x="8077200" y="1295400"/>
          <a:ext cx="2021682" cy="107950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p>
      </xdr:txBody>
    </xdr:sp>
    <xdr:clientData/>
  </xdr:twoCellAnchor>
  <xdr:twoCellAnchor editAs="oneCell">
    <xdr:from>
      <xdr:col>13</xdr:col>
      <xdr:colOff>152400</xdr:colOff>
      <xdr:row>7</xdr:row>
      <xdr:rowOff>25400</xdr:rowOff>
    </xdr:from>
    <xdr:to>
      <xdr:col>16</xdr:col>
      <xdr:colOff>419100</xdr:colOff>
      <xdr:row>13</xdr:row>
      <xdr:rowOff>50800</xdr:rowOff>
    </xdr:to>
    <mc:AlternateContent xmlns:mc="http://schemas.openxmlformats.org/markup-compatibility/2006">
      <mc:Choice xmlns:a14="http://schemas.microsoft.com/office/drawing/2010/main" Requires="a14">
        <xdr:graphicFrame macro="">
          <xdr:nvGraphicFramePr>
            <xdr:cNvPr id="23" name="Gender 2">
              <a:extLst>
                <a:ext uri="{FF2B5EF4-FFF2-40B4-BE49-F238E27FC236}">
                  <a16:creationId xmlns:a16="http://schemas.microsoft.com/office/drawing/2014/main" id="{0927F361-F018-4900-B644-888AF4127A9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002438" y="1333740"/>
              <a:ext cx="2078247" cy="1146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589472</xdr:colOff>
      <xdr:row>16</xdr:row>
      <xdr:rowOff>110945</xdr:rowOff>
    </xdr:from>
    <xdr:to>
      <xdr:col>14</xdr:col>
      <xdr:colOff>11023</xdr:colOff>
      <xdr:row>41</xdr:row>
      <xdr:rowOff>72845</xdr:rowOff>
    </xdr:to>
    <xdr:graphicFrame macro="">
      <xdr:nvGraphicFramePr>
        <xdr:cNvPr id="24" name="Chart 23">
          <a:extLst>
            <a:ext uri="{FF2B5EF4-FFF2-40B4-BE49-F238E27FC236}">
              <a16:creationId xmlns:a16="http://schemas.microsoft.com/office/drawing/2014/main" id="{991C1CEC-C8EB-49AF-BDDB-84DEE7B1E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215661</xdr:colOff>
      <xdr:row>15</xdr:row>
      <xdr:rowOff>115019</xdr:rowOff>
    </xdr:from>
    <xdr:to>
      <xdr:col>10</xdr:col>
      <xdr:colOff>445698</xdr:colOff>
      <xdr:row>17</xdr:row>
      <xdr:rowOff>115019</xdr:rowOff>
    </xdr:to>
    <xdr:sp macro="" textlink="">
      <xdr:nvSpPr>
        <xdr:cNvPr id="27" name="TextBox 26">
          <a:extLst>
            <a:ext uri="{FF2B5EF4-FFF2-40B4-BE49-F238E27FC236}">
              <a16:creationId xmlns:a16="http://schemas.microsoft.com/office/drawing/2014/main" id="{A1301681-3C9F-5BDB-A7D8-502C47F50296}"/>
            </a:ext>
          </a:extLst>
        </xdr:cNvPr>
        <xdr:cNvSpPr txBox="1"/>
      </xdr:nvSpPr>
      <xdr:spPr>
        <a:xfrm>
          <a:off x="3234906" y="2918604"/>
          <a:ext cx="3249283" cy="3738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PATIENTS</a:t>
          </a:r>
          <a:r>
            <a:rPr lang="en-US" sz="1600" b="1" baseline="0"/>
            <a:t> BY DEPARTMENT </a:t>
          </a:r>
          <a:endParaRPr lang="en-IN" sz="1600" b="1"/>
        </a:p>
      </xdr:txBody>
    </xdr:sp>
    <xdr:clientData/>
  </xdr:twoCellAnchor>
  <xdr:twoCellAnchor>
    <xdr:from>
      <xdr:col>15</xdr:col>
      <xdr:colOff>200564</xdr:colOff>
      <xdr:row>14</xdr:row>
      <xdr:rowOff>75721</xdr:rowOff>
    </xdr:from>
    <xdr:to>
      <xdr:col>20</xdr:col>
      <xdr:colOff>430602</xdr:colOff>
      <xdr:row>16</xdr:row>
      <xdr:rowOff>75720</xdr:rowOff>
    </xdr:to>
    <xdr:sp macro="" textlink="">
      <xdr:nvSpPr>
        <xdr:cNvPr id="28" name="TextBox 27">
          <a:extLst>
            <a:ext uri="{FF2B5EF4-FFF2-40B4-BE49-F238E27FC236}">
              <a16:creationId xmlns:a16="http://schemas.microsoft.com/office/drawing/2014/main" id="{7B7D490E-39D1-4B86-8C59-285FE50D36BC}"/>
            </a:ext>
          </a:extLst>
        </xdr:cNvPr>
        <xdr:cNvSpPr txBox="1"/>
      </xdr:nvSpPr>
      <xdr:spPr>
        <a:xfrm>
          <a:off x="9258300" y="2692400"/>
          <a:ext cx="3249283" cy="3738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PATIENTS</a:t>
          </a:r>
          <a:r>
            <a:rPr lang="en-US" sz="1600" b="1" baseline="0"/>
            <a:t> BY CITY </a:t>
          </a:r>
          <a:endParaRPr lang="en-IN" sz="1600" b="1"/>
        </a:p>
      </xdr:txBody>
    </xdr:sp>
    <xdr:clientData/>
  </xdr:twoCellAnchor>
  <xdr:twoCellAnchor editAs="oneCell">
    <xdr:from>
      <xdr:col>17</xdr:col>
      <xdr:colOff>258792</xdr:colOff>
      <xdr:row>1</xdr:row>
      <xdr:rowOff>28755</xdr:rowOff>
    </xdr:from>
    <xdr:to>
      <xdr:col>18</xdr:col>
      <xdr:colOff>201283</xdr:colOff>
      <xdr:row>4</xdr:row>
      <xdr:rowOff>14378</xdr:rowOff>
    </xdr:to>
    <xdr:pic>
      <xdr:nvPicPr>
        <xdr:cNvPr id="32" name="Graphic 31" descr="Home with solid fill">
          <a:extLst>
            <a:ext uri="{FF2B5EF4-FFF2-40B4-BE49-F238E27FC236}">
              <a16:creationId xmlns:a16="http://schemas.microsoft.com/office/drawing/2014/main" id="{1A4E9C78-8372-A237-8B68-67C9276863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524226" y="215661"/>
          <a:ext cx="546340" cy="546340"/>
        </a:xfrm>
        <a:prstGeom prst="rect">
          <a:avLst/>
        </a:prstGeom>
      </xdr:spPr>
    </xdr:pic>
    <xdr:clientData/>
  </xdr:twoCellAnchor>
  <xdr:twoCellAnchor editAs="oneCell">
    <xdr:from>
      <xdr:col>21</xdr:col>
      <xdr:colOff>143775</xdr:colOff>
      <xdr:row>1</xdr:row>
      <xdr:rowOff>100642</xdr:rowOff>
    </xdr:from>
    <xdr:to>
      <xdr:col>22</xdr:col>
      <xdr:colOff>57511</xdr:colOff>
      <xdr:row>4</xdr:row>
      <xdr:rowOff>57510</xdr:rowOff>
    </xdr:to>
    <xdr:pic>
      <xdr:nvPicPr>
        <xdr:cNvPr id="34" name="Graphic 33" descr="Stethoscope with solid fill">
          <a:extLst>
            <a:ext uri="{FF2B5EF4-FFF2-40B4-BE49-F238E27FC236}">
              <a16:creationId xmlns:a16="http://schemas.microsoft.com/office/drawing/2014/main" id="{CBC6783E-D3DD-783E-9A99-E16E6A9CB59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824605" y="287548"/>
          <a:ext cx="517585" cy="517585"/>
        </a:xfrm>
        <a:prstGeom prst="rect">
          <a:avLst/>
        </a:prstGeom>
      </xdr:spPr>
    </xdr:pic>
    <xdr:clientData/>
  </xdr:twoCellAnchor>
  <xdr:twoCellAnchor editAs="oneCell">
    <xdr:from>
      <xdr:col>23</xdr:col>
      <xdr:colOff>575095</xdr:colOff>
      <xdr:row>1</xdr:row>
      <xdr:rowOff>115019</xdr:rowOff>
    </xdr:from>
    <xdr:to>
      <xdr:col>24</xdr:col>
      <xdr:colOff>402567</xdr:colOff>
      <xdr:row>3</xdr:row>
      <xdr:rowOff>172529</xdr:rowOff>
    </xdr:to>
    <xdr:pic>
      <xdr:nvPicPr>
        <xdr:cNvPr id="36" name="Graphic 35" descr="Money with solid fill">
          <a:extLst>
            <a:ext uri="{FF2B5EF4-FFF2-40B4-BE49-F238E27FC236}">
              <a16:creationId xmlns:a16="http://schemas.microsoft.com/office/drawing/2014/main" id="{05A19EEE-6950-63AB-2DB1-FA33A9E568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463623" y="301925"/>
          <a:ext cx="431321" cy="431321"/>
        </a:xfrm>
        <a:prstGeom prst="rect">
          <a:avLst/>
        </a:prstGeom>
      </xdr:spPr>
    </xdr:pic>
    <xdr:clientData/>
  </xdr:twoCellAnchor>
  <xdr:twoCellAnchor editAs="oneCell">
    <xdr:from>
      <xdr:col>1</xdr:col>
      <xdr:colOff>100641</xdr:colOff>
      <xdr:row>8</xdr:row>
      <xdr:rowOff>57510</xdr:rowOff>
    </xdr:from>
    <xdr:to>
      <xdr:col>1</xdr:col>
      <xdr:colOff>603848</xdr:colOff>
      <xdr:row>11</xdr:row>
      <xdr:rowOff>0</xdr:rowOff>
    </xdr:to>
    <xdr:pic>
      <xdr:nvPicPr>
        <xdr:cNvPr id="38" name="Graphic 37" descr="Target Audience with solid fill">
          <a:extLst>
            <a:ext uri="{FF2B5EF4-FFF2-40B4-BE49-F238E27FC236}">
              <a16:creationId xmlns:a16="http://schemas.microsoft.com/office/drawing/2014/main" id="{39FD4728-62BD-F2E6-CF49-2269EA1AAD8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4490" y="1552755"/>
          <a:ext cx="503207" cy="503207"/>
        </a:xfrm>
        <a:prstGeom prst="rect">
          <a:avLst/>
        </a:prstGeom>
      </xdr:spPr>
    </xdr:pic>
    <xdr:clientData/>
  </xdr:twoCellAnchor>
  <xdr:twoCellAnchor editAs="oneCell">
    <xdr:from>
      <xdr:col>5</xdr:col>
      <xdr:colOff>57510</xdr:colOff>
      <xdr:row>7</xdr:row>
      <xdr:rowOff>172528</xdr:rowOff>
    </xdr:from>
    <xdr:to>
      <xdr:col>6</xdr:col>
      <xdr:colOff>71887</xdr:colOff>
      <xdr:row>11</xdr:row>
      <xdr:rowOff>43132</xdr:rowOff>
    </xdr:to>
    <xdr:pic>
      <xdr:nvPicPr>
        <xdr:cNvPr id="40" name="Graphic 39" descr="Man with solid fill">
          <a:extLst>
            <a:ext uri="{FF2B5EF4-FFF2-40B4-BE49-F238E27FC236}">
              <a16:creationId xmlns:a16="http://schemas.microsoft.com/office/drawing/2014/main" id="{3B7F86A4-9DC4-D65C-3F46-722C98A94A2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076755" y="1480868"/>
          <a:ext cx="618226" cy="618226"/>
        </a:xfrm>
        <a:prstGeom prst="rect">
          <a:avLst/>
        </a:prstGeom>
      </xdr:spPr>
    </xdr:pic>
    <xdr:clientData/>
  </xdr:twoCellAnchor>
  <xdr:twoCellAnchor editAs="oneCell">
    <xdr:from>
      <xdr:col>8</xdr:col>
      <xdr:colOff>560718</xdr:colOff>
      <xdr:row>8</xdr:row>
      <xdr:rowOff>14379</xdr:rowOff>
    </xdr:from>
    <xdr:to>
      <xdr:col>9</xdr:col>
      <xdr:colOff>546340</xdr:colOff>
      <xdr:row>11</xdr:row>
      <xdr:rowOff>43134</xdr:rowOff>
    </xdr:to>
    <xdr:pic>
      <xdr:nvPicPr>
        <xdr:cNvPr id="42" name="Graphic 41" descr="Woman with solid fill">
          <a:extLst>
            <a:ext uri="{FF2B5EF4-FFF2-40B4-BE49-F238E27FC236}">
              <a16:creationId xmlns:a16="http://schemas.microsoft.com/office/drawing/2014/main" id="{69740C12-7378-283D-7AF4-E5123B5A4FB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391510" y="1509624"/>
          <a:ext cx="589472" cy="589472"/>
        </a:xfrm>
        <a:prstGeom prst="rect">
          <a:avLst/>
        </a:prstGeom>
      </xdr:spPr>
    </xdr:pic>
    <xdr:clientData/>
  </xdr:twoCellAnchor>
  <xdr:twoCellAnchor>
    <xdr:from>
      <xdr:col>0</xdr:col>
      <xdr:colOff>301924</xdr:colOff>
      <xdr:row>16</xdr:row>
      <xdr:rowOff>172526</xdr:rowOff>
    </xdr:from>
    <xdr:to>
      <xdr:col>4</xdr:col>
      <xdr:colOff>402566</xdr:colOff>
      <xdr:row>18</xdr:row>
      <xdr:rowOff>100640</xdr:rowOff>
    </xdr:to>
    <xdr:sp macro="" textlink="">
      <xdr:nvSpPr>
        <xdr:cNvPr id="44" name="TextBox 43">
          <a:extLst>
            <a:ext uri="{FF2B5EF4-FFF2-40B4-BE49-F238E27FC236}">
              <a16:creationId xmlns:a16="http://schemas.microsoft.com/office/drawing/2014/main" id="{90ADB6A5-63F2-3DEC-6B81-2D84E63C01EB}"/>
            </a:ext>
          </a:extLst>
        </xdr:cNvPr>
        <xdr:cNvSpPr txBox="1"/>
      </xdr:nvSpPr>
      <xdr:spPr>
        <a:xfrm>
          <a:off x="301924" y="3163017"/>
          <a:ext cx="2516038" cy="3019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PATIENTS</a:t>
          </a:r>
          <a:r>
            <a:rPr lang="en-IN" sz="1600" b="1" baseline="0"/>
            <a:t> BY DISEASE</a:t>
          </a:r>
          <a:endParaRPr lang="en-IN" sz="16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0.00813</cdr:x>
      <cdr:y>0.0233</cdr:y>
    </cdr:from>
    <cdr:to>
      <cdr:x>0.52813</cdr:x>
      <cdr:y>0.19472</cdr:y>
    </cdr:to>
    <cdr:sp macro="" textlink="">
      <cdr:nvSpPr>
        <cdr:cNvPr id="2" name="TextBox 26">
          <a:extLst xmlns:a="http://schemas.openxmlformats.org/drawingml/2006/main">
            <a:ext uri="{FF2B5EF4-FFF2-40B4-BE49-F238E27FC236}">
              <a16:creationId xmlns:a16="http://schemas.microsoft.com/office/drawing/2014/main" id="{A1301681-3C9F-5BDB-A7D8-502C47F50296}"/>
            </a:ext>
          </a:extLst>
        </cdr:cNvPr>
        <cdr:cNvSpPr txBox="1"/>
      </cdr:nvSpPr>
      <cdr:spPr>
        <a:xfrm xmlns:a="http://schemas.openxmlformats.org/drawingml/2006/main">
          <a:off x="50800" y="50800"/>
          <a:ext cx="3249283" cy="3738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t>PATIENTS</a:t>
          </a:r>
          <a:r>
            <a:rPr lang="en-US" sz="1600" b="1" baseline="0"/>
            <a:t> BY MONTHS </a:t>
          </a:r>
          <a:endParaRPr lang="en-IN" sz="16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28754</xdr:colOff>
      <xdr:row>47</xdr:row>
      <xdr:rowOff>16566</xdr:rowOff>
    </xdr:to>
    <xdr:sp macro="" textlink="">
      <xdr:nvSpPr>
        <xdr:cNvPr id="2" name="Rectangle 1">
          <a:extLst>
            <a:ext uri="{FF2B5EF4-FFF2-40B4-BE49-F238E27FC236}">
              <a16:creationId xmlns:a16="http://schemas.microsoft.com/office/drawing/2014/main" id="{1A44CF2A-FBEA-445F-BADA-6D9D290735C8}"/>
            </a:ext>
          </a:extLst>
        </xdr:cNvPr>
        <xdr:cNvSpPr/>
      </xdr:nvSpPr>
      <xdr:spPr>
        <a:xfrm>
          <a:off x="0" y="0"/>
          <a:ext cx="17540377" cy="88011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190500</xdr:colOff>
      <xdr:row>0</xdr:row>
      <xdr:rowOff>71439</xdr:rowOff>
    </xdr:from>
    <xdr:to>
      <xdr:col>16</xdr:col>
      <xdr:colOff>369093</xdr:colOff>
      <xdr:row>5</xdr:row>
      <xdr:rowOff>83345</xdr:rowOff>
    </xdr:to>
    <xdr:sp macro="" textlink="">
      <xdr:nvSpPr>
        <xdr:cNvPr id="3" name="Rectangle: Rounded Corners 2">
          <a:extLst>
            <a:ext uri="{FF2B5EF4-FFF2-40B4-BE49-F238E27FC236}">
              <a16:creationId xmlns:a16="http://schemas.microsoft.com/office/drawing/2014/main" id="{256117F4-D077-4F4E-8C2D-FEFE6661AEE4}"/>
            </a:ext>
          </a:extLst>
        </xdr:cNvPr>
        <xdr:cNvSpPr/>
      </xdr:nvSpPr>
      <xdr:spPr>
        <a:xfrm>
          <a:off x="190500" y="71439"/>
          <a:ext cx="9932193" cy="926306"/>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solidFill>
                <a:srgbClr val="00B050"/>
              </a:solidFill>
            </a:rPr>
            <a:t>CITY </a:t>
          </a:r>
          <a:r>
            <a:rPr lang="en-US" sz="4000" b="1">
              <a:solidFill>
                <a:srgbClr val="00B050"/>
              </a:solidFill>
            </a:rPr>
            <a:t>HOSPITAL-AHEMDABAD </a:t>
          </a:r>
          <a:endParaRPr lang="en-IN" sz="4000" b="1">
            <a:solidFill>
              <a:srgbClr val="00B050"/>
            </a:solidFill>
          </a:endParaRPr>
        </a:p>
      </xdr:txBody>
    </xdr:sp>
    <xdr:clientData/>
  </xdr:twoCellAnchor>
  <xdr:twoCellAnchor editAs="oneCell">
    <xdr:from>
      <xdr:col>1</xdr:col>
      <xdr:colOff>261938</xdr:colOff>
      <xdr:row>0</xdr:row>
      <xdr:rowOff>0</xdr:rowOff>
    </xdr:from>
    <xdr:to>
      <xdr:col>2</xdr:col>
      <xdr:colOff>569119</xdr:colOff>
      <xdr:row>5</xdr:row>
      <xdr:rowOff>21431</xdr:rowOff>
    </xdr:to>
    <xdr:pic>
      <xdr:nvPicPr>
        <xdr:cNvPr id="4" name="Graphic 3" descr="Medical with solid fill">
          <a:extLst>
            <a:ext uri="{FF2B5EF4-FFF2-40B4-BE49-F238E27FC236}">
              <a16:creationId xmlns:a16="http://schemas.microsoft.com/office/drawing/2014/main" id="{86CE809D-F661-45D3-81E1-3DD9E9355E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1538" y="0"/>
          <a:ext cx="916781" cy="935831"/>
        </a:xfrm>
        <a:prstGeom prst="rect">
          <a:avLst/>
        </a:prstGeom>
      </xdr:spPr>
    </xdr:pic>
    <xdr:clientData/>
  </xdr:twoCellAnchor>
  <xdr:twoCellAnchor editAs="oneCell">
    <xdr:from>
      <xdr:col>14</xdr:col>
      <xdr:colOff>71438</xdr:colOff>
      <xdr:row>0</xdr:row>
      <xdr:rowOff>23813</xdr:rowOff>
    </xdr:from>
    <xdr:to>
      <xdr:col>15</xdr:col>
      <xdr:colOff>378620</xdr:colOff>
      <xdr:row>5</xdr:row>
      <xdr:rowOff>45244</xdr:rowOff>
    </xdr:to>
    <xdr:pic>
      <xdr:nvPicPr>
        <xdr:cNvPr id="5" name="Graphic 4" descr="Medical with solid fill">
          <a:extLst>
            <a:ext uri="{FF2B5EF4-FFF2-40B4-BE49-F238E27FC236}">
              <a16:creationId xmlns:a16="http://schemas.microsoft.com/office/drawing/2014/main" id="{EB25CC48-F000-4A57-B953-5575A990C9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05838" y="23813"/>
          <a:ext cx="916782" cy="935831"/>
        </a:xfrm>
        <a:prstGeom prst="rect">
          <a:avLst/>
        </a:prstGeom>
      </xdr:spPr>
    </xdr:pic>
    <xdr:clientData/>
  </xdr:twoCellAnchor>
  <xdr:twoCellAnchor>
    <xdr:from>
      <xdr:col>17</xdr:col>
      <xdr:colOff>226221</xdr:colOff>
      <xdr:row>0</xdr:row>
      <xdr:rowOff>71437</xdr:rowOff>
    </xdr:from>
    <xdr:to>
      <xdr:col>20</xdr:col>
      <xdr:colOff>186906</xdr:colOff>
      <xdr:row>5</xdr:row>
      <xdr:rowOff>83343</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63502E6A-504E-4933-8D5D-E4B463FA2C92}"/>
            </a:ext>
          </a:extLst>
        </xdr:cNvPr>
        <xdr:cNvSpPr/>
      </xdr:nvSpPr>
      <xdr:spPr>
        <a:xfrm>
          <a:off x="10491655" y="71437"/>
          <a:ext cx="1772232" cy="946434"/>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rgbClr val="00B050"/>
              </a:solidFill>
            </a:rPr>
            <a:t>    HOME</a:t>
          </a:r>
        </a:p>
      </xdr:txBody>
    </xdr:sp>
    <xdr:clientData/>
  </xdr:twoCellAnchor>
  <xdr:twoCellAnchor>
    <xdr:from>
      <xdr:col>20</xdr:col>
      <xdr:colOff>438152</xdr:colOff>
      <xdr:row>0</xdr:row>
      <xdr:rowOff>69056</xdr:rowOff>
    </xdr:from>
    <xdr:to>
      <xdr:col>23</xdr:col>
      <xdr:colOff>247650</xdr:colOff>
      <xdr:row>5</xdr:row>
      <xdr:rowOff>80962</xdr:rowOff>
    </xdr:to>
    <xdr:sp macro="" textlink="">
      <xdr:nvSpPr>
        <xdr:cNvPr id="7" name="Rectangle: Rounded Corners 6">
          <a:extLst>
            <a:ext uri="{FF2B5EF4-FFF2-40B4-BE49-F238E27FC236}">
              <a16:creationId xmlns:a16="http://schemas.microsoft.com/office/drawing/2014/main" id="{BDC985EC-C32B-486B-992D-C04DB4195C62}"/>
            </a:ext>
          </a:extLst>
        </xdr:cNvPr>
        <xdr:cNvSpPr/>
      </xdr:nvSpPr>
      <xdr:spPr>
        <a:xfrm>
          <a:off x="12630152" y="69056"/>
          <a:ext cx="1638298" cy="926306"/>
        </a:xfrm>
        <a:prstGeom prst="roundRect">
          <a:avLst/>
        </a:prstGeom>
        <a:solidFill>
          <a:srgbClr val="00B05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chemeClr val="bg1"/>
              </a:solidFill>
            </a:rPr>
            <a:t>      DR</a:t>
          </a:r>
        </a:p>
      </xdr:txBody>
    </xdr:sp>
    <xdr:clientData/>
  </xdr:twoCellAnchor>
  <xdr:twoCellAnchor>
    <xdr:from>
      <xdr:col>23</xdr:col>
      <xdr:colOff>566740</xdr:colOff>
      <xdr:row>0</xdr:row>
      <xdr:rowOff>42862</xdr:rowOff>
    </xdr:from>
    <xdr:to>
      <xdr:col>26</xdr:col>
      <xdr:colOff>376237</xdr:colOff>
      <xdr:row>5</xdr:row>
      <xdr:rowOff>54768</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75523444-D2AA-4EEA-9BDB-BFC933A3B86A}"/>
            </a:ext>
          </a:extLst>
        </xdr:cNvPr>
        <xdr:cNvSpPr/>
      </xdr:nvSpPr>
      <xdr:spPr>
        <a:xfrm>
          <a:off x="14587540" y="42862"/>
          <a:ext cx="1638297" cy="926306"/>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a:solidFill>
                <a:srgbClr val="00B050"/>
              </a:solidFill>
            </a:rPr>
            <a:t>   PROFI </a:t>
          </a:r>
          <a:endParaRPr lang="en-IN" sz="3200" b="1">
            <a:solidFill>
              <a:srgbClr val="00B050"/>
            </a:solidFill>
          </a:endParaRPr>
        </a:p>
      </xdr:txBody>
    </xdr:sp>
    <xdr:clientData/>
  </xdr:twoCellAnchor>
  <xdr:twoCellAnchor>
    <xdr:from>
      <xdr:col>17</xdr:col>
      <xdr:colOff>214313</xdr:colOff>
      <xdr:row>7</xdr:row>
      <xdr:rowOff>35719</xdr:rowOff>
    </xdr:from>
    <xdr:to>
      <xdr:col>26</xdr:col>
      <xdr:colOff>238126</xdr:colOff>
      <xdr:row>12</xdr:row>
      <xdr:rowOff>95250</xdr:rowOff>
    </xdr:to>
    <xdr:sp macro="" textlink="">
      <xdr:nvSpPr>
        <xdr:cNvPr id="9" name="Rectangle: Rounded Corners 8">
          <a:extLst>
            <a:ext uri="{FF2B5EF4-FFF2-40B4-BE49-F238E27FC236}">
              <a16:creationId xmlns:a16="http://schemas.microsoft.com/office/drawing/2014/main" id="{66DF06B5-342A-485E-8C28-2EB427564586}"/>
            </a:ext>
          </a:extLst>
        </xdr:cNvPr>
        <xdr:cNvSpPr/>
      </xdr:nvSpPr>
      <xdr:spPr>
        <a:xfrm>
          <a:off x="10577513" y="1315879"/>
          <a:ext cx="5510213" cy="973931"/>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4000" b="1">
            <a:solidFill>
              <a:srgbClr val="00B050"/>
            </a:solidFill>
          </a:endParaRPr>
        </a:p>
      </xdr:txBody>
    </xdr:sp>
    <xdr:clientData/>
  </xdr:twoCellAnchor>
  <xdr:twoCellAnchor editAs="oneCell">
    <xdr:from>
      <xdr:col>17</xdr:col>
      <xdr:colOff>238126</xdr:colOff>
      <xdr:row>7</xdr:row>
      <xdr:rowOff>47625</xdr:rowOff>
    </xdr:from>
    <xdr:to>
      <xdr:col>26</xdr:col>
      <xdr:colOff>202407</xdr:colOff>
      <xdr:row>12</xdr:row>
      <xdr:rowOff>71438</xdr:rowOff>
    </xdr:to>
    <mc:AlternateContent xmlns:mc="http://schemas.openxmlformats.org/markup-compatibility/2006">
      <mc:Choice xmlns:tsle="http://schemas.microsoft.com/office/drawing/2012/timeslicer" Requires="tsle">
        <xdr:graphicFrame macro="">
          <xdr:nvGraphicFramePr>
            <xdr:cNvPr id="10" name="Admission_Date 2">
              <a:extLst>
                <a:ext uri="{FF2B5EF4-FFF2-40B4-BE49-F238E27FC236}">
                  <a16:creationId xmlns:a16="http://schemas.microsoft.com/office/drawing/2014/main" id="{37CCB8FD-AFD5-4B86-9784-D29846AE9002}"/>
                </a:ext>
              </a:extLst>
            </xdr:cNvPr>
            <xdr:cNvGraphicFramePr/>
          </xdr:nvGraphicFramePr>
          <xdr:xfrm>
            <a:off x="0" y="0"/>
            <a:ext cx="0" cy="0"/>
          </xdr:xfrm>
          <a:graphic>
            <a:graphicData uri="http://schemas.microsoft.com/office/drawing/2012/timeslicer">
              <tsle:timeslicer xmlns:tsle="http://schemas.microsoft.com/office/drawing/2012/timeslicer" name="Admission_Date 2"/>
            </a:graphicData>
          </a:graphic>
        </xdr:graphicFrame>
      </mc:Choice>
      <mc:Fallback>
        <xdr:sp macro="" textlink="">
          <xdr:nvSpPr>
            <xdr:cNvPr id="0" name=""/>
            <xdr:cNvSpPr>
              <a:spLocks noTextEdit="1"/>
            </xdr:cNvSpPr>
          </xdr:nvSpPr>
          <xdr:spPr>
            <a:xfrm>
              <a:off x="10503560" y="1355965"/>
              <a:ext cx="5398922" cy="958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66944</xdr:colOff>
      <xdr:row>7</xdr:row>
      <xdr:rowOff>37290</xdr:rowOff>
    </xdr:from>
    <xdr:to>
      <xdr:col>4</xdr:col>
      <xdr:colOff>162195</xdr:colOff>
      <xdr:row>12</xdr:row>
      <xdr:rowOff>37291</xdr:rowOff>
    </xdr:to>
    <xdr:sp macro="" textlink="">
      <xdr:nvSpPr>
        <xdr:cNvPr id="11" name="Rectangle: Rounded Corners 10">
          <a:extLst>
            <a:ext uri="{FF2B5EF4-FFF2-40B4-BE49-F238E27FC236}">
              <a16:creationId xmlns:a16="http://schemas.microsoft.com/office/drawing/2014/main" id="{829D98FD-29A1-49A7-B0BE-038B398FDF76}"/>
            </a:ext>
          </a:extLst>
        </xdr:cNvPr>
        <xdr:cNvSpPr/>
      </xdr:nvSpPr>
      <xdr:spPr>
        <a:xfrm>
          <a:off x="670793" y="1345630"/>
          <a:ext cx="1906798" cy="93452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TOTAL</a:t>
          </a:r>
          <a:r>
            <a:rPr lang="en-US" sz="2400" b="1" i="0" u="none" strike="noStrike" baseline="0">
              <a:solidFill>
                <a:schemeClr val="bg1"/>
              </a:solidFill>
              <a:latin typeface="Calibri"/>
              <a:cs typeface="Calibri"/>
            </a:rPr>
            <a:t> DR</a:t>
          </a:r>
        </a:p>
        <a:p>
          <a:pPr algn="ctr"/>
          <a:r>
            <a:rPr lang="en-US" sz="2400" b="1" i="0" u="none" strike="noStrike" baseline="0">
              <a:solidFill>
                <a:schemeClr val="bg1"/>
              </a:solidFill>
              <a:latin typeface="Calibri"/>
              <a:cs typeface="Calibri"/>
            </a:rPr>
            <a:t>8</a:t>
          </a:r>
          <a:endParaRPr lang="en-US" sz="2400" b="1" i="0" u="none" strike="noStrike">
            <a:solidFill>
              <a:schemeClr val="bg1"/>
            </a:solidFill>
            <a:latin typeface="Calibri"/>
            <a:cs typeface="Calibri"/>
          </a:endParaRPr>
        </a:p>
      </xdr:txBody>
    </xdr:sp>
    <xdr:clientData/>
  </xdr:twoCellAnchor>
  <xdr:twoCellAnchor>
    <xdr:from>
      <xdr:col>5</xdr:col>
      <xdr:colOff>5840</xdr:colOff>
      <xdr:row>7</xdr:row>
      <xdr:rowOff>23812</xdr:rowOff>
    </xdr:from>
    <xdr:to>
      <xdr:col>8</xdr:col>
      <xdr:colOff>145346</xdr:colOff>
      <xdr:row>12</xdr:row>
      <xdr:rowOff>23812</xdr:rowOff>
    </xdr:to>
    <xdr:sp macro="" textlink="">
      <xdr:nvSpPr>
        <xdr:cNvPr id="12" name="Rectangle: Rounded Corners 11">
          <a:extLst>
            <a:ext uri="{FF2B5EF4-FFF2-40B4-BE49-F238E27FC236}">
              <a16:creationId xmlns:a16="http://schemas.microsoft.com/office/drawing/2014/main" id="{5956A6A1-0272-4FAE-BBE7-2AC86BEBEA58}"/>
            </a:ext>
          </a:extLst>
        </xdr:cNvPr>
        <xdr:cNvSpPr/>
      </xdr:nvSpPr>
      <xdr:spPr>
        <a:xfrm>
          <a:off x="3025085" y="1332152"/>
          <a:ext cx="1951053" cy="9345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MALE</a:t>
          </a:r>
          <a:r>
            <a:rPr lang="en-US" sz="2400" b="1" i="0" u="none" strike="noStrike" baseline="0">
              <a:solidFill>
                <a:schemeClr val="bg1"/>
              </a:solidFill>
              <a:latin typeface="Calibri"/>
              <a:cs typeface="Calibri"/>
            </a:rPr>
            <a:t> DR</a:t>
          </a:r>
        </a:p>
        <a:p>
          <a:pPr algn="ctr"/>
          <a:r>
            <a:rPr lang="en-US" sz="2400" b="1" i="0" u="none" strike="noStrike" baseline="0">
              <a:solidFill>
                <a:schemeClr val="bg1"/>
              </a:solidFill>
              <a:latin typeface="Calibri"/>
              <a:cs typeface="Calibri"/>
            </a:rPr>
            <a:t>4</a:t>
          </a:r>
          <a:endParaRPr lang="en-US" sz="2400" b="1" i="0" u="none" strike="noStrike">
            <a:solidFill>
              <a:schemeClr val="bg1"/>
            </a:solidFill>
            <a:latin typeface="Calibri"/>
            <a:cs typeface="Calibri"/>
          </a:endParaRPr>
        </a:p>
      </xdr:txBody>
    </xdr:sp>
    <xdr:clientData/>
  </xdr:twoCellAnchor>
  <xdr:twoCellAnchor>
    <xdr:from>
      <xdr:col>8</xdr:col>
      <xdr:colOff>559593</xdr:colOff>
      <xdr:row>7</xdr:row>
      <xdr:rowOff>35718</xdr:rowOff>
    </xdr:from>
    <xdr:to>
      <xdr:col>12</xdr:col>
      <xdr:colOff>142875</xdr:colOff>
      <xdr:row>12</xdr:row>
      <xdr:rowOff>35718</xdr:rowOff>
    </xdr:to>
    <xdr:sp macro="" textlink="">
      <xdr:nvSpPr>
        <xdr:cNvPr id="13" name="Rectangle: Rounded Corners 12">
          <a:extLst>
            <a:ext uri="{FF2B5EF4-FFF2-40B4-BE49-F238E27FC236}">
              <a16:creationId xmlns:a16="http://schemas.microsoft.com/office/drawing/2014/main" id="{E6C882AC-B0FC-4F37-A5EF-DEF565BBBA4E}"/>
            </a:ext>
          </a:extLst>
        </xdr:cNvPr>
        <xdr:cNvSpPr/>
      </xdr:nvSpPr>
      <xdr:spPr>
        <a:xfrm>
          <a:off x="5390385" y="1344058"/>
          <a:ext cx="1998679" cy="9345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Calibri"/>
              <a:cs typeface="Calibri"/>
            </a:rPr>
            <a:t>FEMALE DR</a:t>
          </a:r>
        </a:p>
        <a:p>
          <a:pPr algn="ctr"/>
          <a:r>
            <a:rPr lang="en-US" sz="2400" b="1" i="0" u="none" strike="noStrike">
              <a:solidFill>
                <a:schemeClr val="bg1"/>
              </a:solidFill>
              <a:latin typeface="Calibri"/>
              <a:cs typeface="Calibri"/>
            </a:rPr>
            <a:t>4</a:t>
          </a:r>
        </a:p>
      </xdr:txBody>
    </xdr:sp>
    <xdr:clientData/>
  </xdr:twoCellAnchor>
  <xdr:twoCellAnchor>
    <xdr:from>
      <xdr:col>2</xdr:col>
      <xdr:colOff>36421</xdr:colOff>
      <xdr:row>15</xdr:row>
      <xdr:rowOff>21506</xdr:rowOff>
    </xdr:from>
    <xdr:to>
      <xdr:col>14</xdr:col>
      <xdr:colOff>100641</xdr:colOff>
      <xdr:row>42</xdr:row>
      <xdr:rowOff>125862</xdr:rowOff>
    </xdr:to>
    <xdr:sp macro="" textlink="">
      <xdr:nvSpPr>
        <xdr:cNvPr id="14" name="Rectangle: Rounded Corners 13">
          <a:extLst>
            <a:ext uri="{FF2B5EF4-FFF2-40B4-BE49-F238E27FC236}">
              <a16:creationId xmlns:a16="http://schemas.microsoft.com/office/drawing/2014/main" id="{043F90CD-5960-41AA-B676-20A18F27A3B8}"/>
            </a:ext>
          </a:extLst>
        </xdr:cNvPr>
        <xdr:cNvSpPr/>
      </xdr:nvSpPr>
      <xdr:spPr>
        <a:xfrm>
          <a:off x="1244119" y="2825091"/>
          <a:ext cx="7310409" cy="5150809"/>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162718</xdr:colOff>
      <xdr:row>29</xdr:row>
      <xdr:rowOff>38100</xdr:rowOff>
    </xdr:from>
    <xdr:to>
      <xdr:col>26</xdr:col>
      <xdr:colOff>427830</xdr:colOff>
      <xdr:row>42</xdr:row>
      <xdr:rowOff>88900</xdr:rowOff>
    </xdr:to>
    <xdr:sp macro="" textlink="">
      <xdr:nvSpPr>
        <xdr:cNvPr id="15" name="Rectangle: Rounded Corners 14">
          <a:extLst>
            <a:ext uri="{FF2B5EF4-FFF2-40B4-BE49-F238E27FC236}">
              <a16:creationId xmlns:a16="http://schemas.microsoft.com/office/drawing/2014/main" id="{7D7EDC78-E8A5-4CF5-A676-EF336BD50CD6}"/>
            </a:ext>
          </a:extLst>
        </xdr:cNvPr>
        <xdr:cNvSpPr/>
      </xdr:nvSpPr>
      <xdr:spPr>
        <a:xfrm>
          <a:off x="9306718" y="5341620"/>
          <a:ext cx="6970712" cy="242824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114300</xdr:colOff>
      <xdr:row>15</xdr:row>
      <xdr:rowOff>25400</xdr:rowOff>
    </xdr:from>
    <xdr:to>
      <xdr:col>26</xdr:col>
      <xdr:colOff>379412</xdr:colOff>
      <xdr:row>28</xdr:row>
      <xdr:rowOff>76200</xdr:rowOff>
    </xdr:to>
    <xdr:sp macro="" textlink="">
      <xdr:nvSpPr>
        <xdr:cNvPr id="17" name="Rectangle: Rounded Corners 16">
          <a:extLst>
            <a:ext uri="{FF2B5EF4-FFF2-40B4-BE49-F238E27FC236}">
              <a16:creationId xmlns:a16="http://schemas.microsoft.com/office/drawing/2014/main" id="{DFD82B72-3C90-46E3-BA77-EBCD73097258}"/>
            </a:ext>
          </a:extLst>
        </xdr:cNvPr>
        <xdr:cNvSpPr/>
      </xdr:nvSpPr>
      <xdr:spPr>
        <a:xfrm>
          <a:off x="9258300" y="2768600"/>
          <a:ext cx="6970712" cy="242824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p</a:t>
          </a:r>
        </a:p>
      </xdr:txBody>
    </xdr:sp>
    <xdr:clientData/>
  </xdr:twoCellAnchor>
  <xdr:twoCellAnchor>
    <xdr:from>
      <xdr:col>13</xdr:col>
      <xdr:colOff>152400</xdr:colOff>
      <xdr:row>7</xdr:row>
      <xdr:rowOff>50800</xdr:rowOff>
    </xdr:from>
    <xdr:to>
      <xdr:col>16</xdr:col>
      <xdr:colOff>345282</xdr:colOff>
      <xdr:row>13</xdr:row>
      <xdr:rowOff>63500</xdr:rowOff>
    </xdr:to>
    <xdr:sp macro="" textlink="">
      <xdr:nvSpPr>
        <xdr:cNvPr id="21" name="Rectangle: Rounded Corners 20">
          <a:extLst>
            <a:ext uri="{FF2B5EF4-FFF2-40B4-BE49-F238E27FC236}">
              <a16:creationId xmlns:a16="http://schemas.microsoft.com/office/drawing/2014/main" id="{7638FDEC-D7E7-4F92-ACC3-0EAA27E53798}"/>
            </a:ext>
          </a:extLst>
        </xdr:cNvPr>
        <xdr:cNvSpPr/>
      </xdr:nvSpPr>
      <xdr:spPr>
        <a:xfrm>
          <a:off x="8077200" y="1330960"/>
          <a:ext cx="2021682" cy="110998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p>
      </xdr:txBody>
    </xdr:sp>
    <xdr:clientData/>
  </xdr:twoCellAnchor>
  <xdr:twoCellAnchor editAs="oneCell">
    <xdr:from>
      <xdr:col>13</xdr:col>
      <xdr:colOff>152400</xdr:colOff>
      <xdr:row>7</xdr:row>
      <xdr:rowOff>25400</xdr:rowOff>
    </xdr:from>
    <xdr:to>
      <xdr:col>16</xdr:col>
      <xdr:colOff>419100</xdr:colOff>
      <xdr:row>13</xdr:row>
      <xdr:rowOff>50800</xdr:rowOff>
    </xdr:to>
    <mc:AlternateContent xmlns:mc="http://schemas.openxmlformats.org/markup-compatibility/2006">
      <mc:Choice xmlns:a14="http://schemas.microsoft.com/office/drawing/2010/main" Requires="a14">
        <xdr:graphicFrame macro="">
          <xdr:nvGraphicFramePr>
            <xdr:cNvPr id="22" name="Gender 3">
              <a:extLst>
                <a:ext uri="{FF2B5EF4-FFF2-40B4-BE49-F238E27FC236}">
                  <a16:creationId xmlns:a16="http://schemas.microsoft.com/office/drawing/2014/main" id="{A365956F-382F-4CA6-A5AD-25DAB50E854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8002438" y="1333740"/>
              <a:ext cx="2078247" cy="1146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272451</xdr:colOff>
      <xdr:row>16</xdr:row>
      <xdr:rowOff>115019</xdr:rowOff>
    </xdr:from>
    <xdr:to>
      <xdr:col>26</xdr:col>
      <xdr:colOff>273170</xdr:colOff>
      <xdr:row>27</xdr:row>
      <xdr:rowOff>71887</xdr:rowOff>
    </xdr:to>
    <xdr:graphicFrame macro="">
      <xdr:nvGraphicFramePr>
        <xdr:cNvPr id="24" name="Chart 23">
          <a:extLst>
            <a:ext uri="{FF2B5EF4-FFF2-40B4-BE49-F238E27FC236}">
              <a16:creationId xmlns:a16="http://schemas.microsoft.com/office/drawing/2014/main" id="{EA55A3C7-FBB7-4F00-AFB5-AECFDF1FD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248982</xdr:colOff>
      <xdr:row>30</xdr:row>
      <xdr:rowOff>129396</xdr:rowOff>
    </xdr:from>
    <xdr:to>
      <xdr:col>26</xdr:col>
      <xdr:colOff>273171</xdr:colOff>
      <xdr:row>41</xdr:row>
      <xdr:rowOff>115020</xdr:rowOff>
    </xdr:to>
    <xdr:graphicFrame macro="">
      <xdr:nvGraphicFramePr>
        <xdr:cNvPr id="25" name="Chart 24">
          <a:extLst>
            <a:ext uri="{FF2B5EF4-FFF2-40B4-BE49-F238E27FC236}">
              <a16:creationId xmlns:a16="http://schemas.microsoft.com/office/drawing/2014/main" id="{AD8B0252-1A6B-407F-83F1-15CE70635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266458</xdr:colOff>
      <xdr:row>14</xdr:row>
      <xdr:rowOff>166429</xdr:rowOff>
    </xdr:from>
    <xdr:to>
      <xdr:col>13</xdr:col>
      <xdr:colOff>230037</xdr:colOff>
      <xdr:row>41</xdr:row>
      <xdr:rowOff>129395</xdr:rowOff>
    </xdr:to>
    <xdr:graphicFrame macro="">
      <xdr:nvGraphicFramePr>
        <xdr:cNvPr id="26" name="Chart 25">
          <a:extLst>
            <a:ext uri="{FF2B5EF4-FFF2-40B4-BE49-F238E27FC236}">
              <a16:creationId xmlns:a16="http://schemas.microsoft.com/office/drawing/2014/main" id="{68008A90-2461-4163-87CD-B1DC1E54F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197466</xdr:colOff>
      <xdr:row>1</xdr:row>
      <xdr:rowOff>42682</xdr:rowOff>
    </xdr:from>
    <xdr:to>
      <xdr:col>18</xdr:col>
      <xdr:colOff>139957</xdr:colOff>
      <xdr:row>4</xdr:row>
      <xdr:rowOff>28305</xdr:rowOff>
    </xdr:to>
    <xdr:pic>
      <xdr:nvPicPr>
        <xdr:cNvPr id="29" name="Graphic 28" descr="Home with solid fill">
          <a:extLst>
            <a:ext uri="{FF2B5EF4-FFF2-40B4-BE49-F238E27FC236}">
              <a16:creationId xmlns:a16="http://schemas.microsoft.com/office/drawing/2014/main" id="{4354AAB1-EA67-49BC-8E4B-C97FD45E2F2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62900" y="229588"/>
          <a:ext cx="546340" cy="546340"/>
        </a:xfrm>
        <a:prstGeom prst="rect">
          <a:avLst/>
        </a:prstGeom>
      </xdr:spPr>
    </xdr:pic>
    <xdr:clientData/>
  </xdr:twoCellAnchor>
  <xdr:twoCellAnchor editAs="oneCell">
    <xdr:from>
      <xdr:col>21</xdr:col>
      <xdr:colOff>136228</xdr:colOff>
      <xdr:row>1</xdr:row>
      <xdr:rowOff>112187</xdr:rowOff>
    </xdr:from>
    <xdr:to>
      <xdr:col>22</xdr:col>
      <xdr:colOff>49964</xdr:colOff>
      <xdr:row>4</xdr:row>
      <xdr:rowOff>69055</xdr:rowOff>
    </xdr:to>
    <xdr:pic>
      <xdr:nvPicPr>
        <xdr:cNvPr id="30" name="Graphic 29" descr="Stethoscope with solid fill">
          <a:extLst>
            <a:ext uri="{FF2B5EF4-FFF2-40B4-BE49-F238E27FC236}">
              <a16:creationId xmlns:a16="http://schemas.microsoft.com/office/drawing/2014/main" id="{133C44D3-C721-4B44-92F3-4BBFA46D68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17058" y="299093"/>
          <a:ext cx="517585" cy="517585"/>
        </a:xfrm>
        <a:prstGeom prst="rect">
          <a:avLst/>
        </a:prstGeom>
      </xdr:spPr>
    </xdr:pic>
    <xdr:clientData/>
  </xdr:twoCellAnchor>
  <xdr:twoCellAnchor editAs="oneCell">
    <xdr:from>
      <xdr:col>23</xdr:col>
      <xdr:colOff>555239</xdr:colOff>
      <xdr:row>1</xdr:row>
      <xdr:rowOff>114749</xdr:rowOff>
    </xdr:from>
    <xdr:to>
      <xdr:col>24</xdr:col>
      <xdr:colOff>382711</xdr:colOff>
      <xdr:row>3</xdr:row>
      <xdr:rowOff>172259</xdr:rowOff>
    </xdr:to>
    <xdr:pic>
      <xdr:nvPicPr>
        <xdr:cNvPr id="32" name="Graphic 31" descr="Money with solid fill">
          <a:extLst>
            <a:ext uri="{FF2B5EF4-FFF2-40B4-BE49-F238E27FC236}">
              <a16:creationId xmlns:a16="http://schemas.microsoft.com/office/drawing/2014/main" id="{8D3AF198-0890-46FB-A5CC-0716941B938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443767" y="301655"/>
          <a:ext cx="431321" cy="431321"/>
        </a:xfrm>
        <a:prstGeom prst="rect">
          <a:avLst/>
        </a:prstGeom>
      </xdr:spPr>
    </xdr:pic>
    <xdr:clientData/>
  </xdr:twoCellAnchor>
  <xdr:twoCellAnchor editAs="oneCell">
    <xdr:from>
      <xdr:col>1</xdr:col>
      <xdr:colOff>124454</xdr:colOff>
      <xdr:row>8</xdr:row>
      <xdr:rowOff>166686</xdr:rowOff>
    </xdr:from>
    <xdr:to>
      <xdr:col>2</xdr:col>
      <xdr:colOff>23812</xdr:colOff>
      <xdr:row>11</xdr:row>
      <xdr:rowOff>109176</xdr:rowOff>
    </xdr:to>
    <xdr:pic>
      <xdr:nvPicPr>
        <xdr:cNvPr id="33" name="Graphic 32" descr="Target Audience with solid fill">
          <a:extLst>
            <a:ext uri="{FF2B5EF4-FFF2-40B4-BE49-F238E27FC236}">
              <a16:creationId xmlns:a16="http://schemas.microsoft.com/office/drawing/2014/main" id="{57500782-838F-494F-87BC-8A9B6D6305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8303" y="1661931"/>
          <a:ext cx="503207" cy="503207"/>
        </a:xfrm>
        <a:prstGeom prst="rect">
          <a:avLst/>
        </a:prstGeom>
      </xdr:spPr>
    </xdr:pic>
    <xdr:clientData/>
  </xdr:twoCellAnchor>
  <xdr:twoCellAnchor editAs="oneCell">
    <xdr:from>
      <xdr:col>5</xdr:col>
      <xdr:colOff>43134</xdr:colOff>
      <xdr:row>8</xdr:row>
      <xdr:rowOff>143776</xdr:rowOff>
    </xdr:from>
    <xdr:to>
      <xdr:col>5</xdr:col>
      <xdr:colOff>560718</xdr:colOff>
      <xdr:row>11</xdr:row>
      <xdr:rowOff>100643</xdr:rowOff>
    </xdr:to>
    <xdr:pic>
      <xdr:nvPicPr>
        <xdr:cNvPr id="35" name="Graphic 34" descr="Male profile with solid fill">
          <a:extLst>
            <a:ext uri="{FF2B5EF4-FFF2-40B4-BE49-F238E27FC236}">
              <a16:creationId xmlns:a16="http://schemas.microsoft.com/office/drawing/2014/main" id="{61B1C8F9-FD41-AA84-6F39-2E67BBE60C7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062379" y="1639021"/>
          <a:ext cx="517584" cy="517584"/>
        </a:xfrm>
        <a:prstGeom prst="rect">
          <a:avLst/>
        </a:prstGeom>
      </xdr:spPr>
    </xdr:pic>
    <xdr:clientData/>
  </xdr:twoCellAnchor>
  <xdr:twoCellAnchor editAs="oneCell">
    <xdr:from>
      <xdr:col>8</xdr:col>
      <xdr:colOff>517585</xdr:colOff>
      <xdr:row>8</xdr:row>
      <xdr:rowOff>172529</xdr:rowOff>
    </xdr:from>
    <xdr:to>
      <xdr:col>9</xdr:col>
      <xdr:colOff>431320</xdr:colOff>
      <xdr:row>11</xdr:row>
      <xdr:rowOff>129397</xdr:rowOff>
    </xdr:to>
    <xdr:pic>
      <xdr:nvPicPr>
        <xdr:cNvPr id="37" name="Graphic 36" descr="Female Profile with solid fill">
          <a:extLst>
            <a:ext uri="{FF2B5EF4-FFF2-40B4-BE49-F238E27FC236}">
              <a16:creationId xmlns:a16="http://schemas.microsoft.com/office/drawing/2014/main" id="{CA134858-C718-D1AF-37BD-3C7C20101A4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348377" y="1667774"/>
          <a:ext cx="517585" cy="517585"/>
        </a:xfrm>
        <a:prstGeom prst="rect">
          <a:avLst/>
        </a:prstGeom>
      </xdr:spPr>
    </xdr:pic>
    <xdr:clientData/>
  </xdr:twoCellAnchor>
  <xdr:twoCellAnchor>
    <xdr:from>
      <xdr:col>16</xdr:col>
      <xdr:colOff>215659</xdr:colOff>
      <xdr:row>15</xdr:row>
      <xdr:rowOff>57509</xdr:rowOff>
    </xdr:from>
    <xdr:to>
      <xdr:col>24</xdr:col>
      <xdr:colOff>388188</xdr:colOff>
      <xdr:row>17</xdr:row>
      <xdr:rowOff>86264</xdr:rowOff>
    </xdr:to>
    <xdr:sp macro="" textlink="">
      <xdr:nvSpPr>
        <xdr:cNvPr id="38" name="TextBox 37">
          <a:extLst>
            <a:ext uri="{FF2B5EF4-FFF2-40B4-BE49-F238E27FC236}">
              <a16:creationId xmlns:a16="http://schemas.microsoft.com/office/drawing/2014/main" id="{21939B90-F618-31FB-7970-612FAF282224}"/>
            </a:ext>
          </a:extLst>
        </xdr:cNvPr>
        <xdr:cNvSpPr txBox="1"/>
      </xdr:nvSpPr>
      <xdr:spPr>
        <a:xfrm>
          <a:off x="9877244" y="2861094"/>
          <a:ext cx="5003321" cy="402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DR BY </a:t>
          </a:r>
          <a:r>
            <a:rPr lang="en-US" sz="1600" b="1"/>
            <a:t>PATIENT'S </a:t>
          </a:r>
          <a:endParaRPr lang="en-IN" sz="16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0.16322</cdr:x>
      <cdr:y>0</cdr:y>
    </cdr:from>
    <cdr:to>
      <cdr:x>0.47809</cdr:x>
      <cdr:y>0.14084</cdr:y>
    </cdr:to>
    <cdr:sp macro="" textlink="">
      <cdr:nvSpPr>
        <cdr:cNvPr id="4" name="TextBox 3">
          <a:extLst xmlns:a="http://schemas.openxmlformats.org/drawingml/2006/main">
            <a:ext uri="{FF2B5EF4-FFF2-40B4-BE49-F238E27FC236}">
              <a16:creationId xmlns:a16="http://schemas.microsoft.com/office/drawing/2014/main" id="{7CE8754C-87E0-2E27-1716-F1A164E16D1C}"/>
            </a:ext>
          </a:extLst>
        </cdr:cNvPr>
        <cdr:cNvSpPr txBox="1"/>
      </cdr:nvSpPr>
      <cdr:spPr>
        <a:xfrm xmlns:a="http://schemas.openxmlformats.org/drawingml/2006/main">
          <a:off x="1088112" y="-57509"/>
          <a:ext cx="2099095" cy="2875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t>DR BY </a:t>
          </a:r>
          <a:r>
            <a:rPr lang="en-US" sz="1600" b="1" kern="1200"/>
            <a:t>REVENUE </a:t>
          </a:r>
          <a:endParaRPr lang="en-IN" sz="16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0.21499</cdr:x>
      <cdr:y>0.01844</cdr:y>
    </cdr:from>
    <cdr:to>
      <cdr:x>0.73938</cdr:x>
      <cdr:y>0.09019</cdr:y>
    </cdr:to>
    <cdr:sp macro="" textlink="">
      <cdr:nvSpPr>
        <cdr:cNvPr id="4" name="TextBox 3">
          <a:extLst xmlns:a="http://schemas.openxmlformats.org/drawingml/2006/main">
            <a:ext uri="{FF2B5EF4-FFF2-40B4-BE49-F238E27FC236}">
              <a16:creationId xmlns:a16="http://schemas.microsoft.com/office/drawing/2014/main" id="{D9CB3D24-1712-47BB-AF68-03C3B0691A0E}"/>
            </a:ext>
          </a:extLst>
        </cdr:cNvPr>
        <cdr:cNvSpPr txBox="1"/>
      </cdr:nvSpPr>
      <cdr:spPr>
        <a:xfrm xmlns:a="http://schemas.openxmlformats.org/drawingml/2006/main">
          <a:off x="984372" y="92364"/>
          <a:ext cx="2401019" cy="3594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0.08807</cdr:x>
      <cdr:y>0</cdr:y>
    </cdr:from>
    <cdr:to>
      <cdr:x>0.4646</cdr:x>
      <cdr:y>0.0861</cdr:y>
    </cdr:to>
    <cdr:sp macro="" textlink="">
      <cdr:nvSpPr>
        <cdr:cNvPr id="5" name="TextBox 4">
          <a:extLst xmlns:a="http://schemas.openxmlformats.org/drawingml/2006/main">
            <a:ext uri="{FF2B5EF4-FFF2-40B4-BE49-F238E27FC236}">
              <a16:creationId xmlns:a16="http://schemas.microsoft.com/office/drawing/2014/main" id="{5409934B-F0E6-3E2F-94B1-D7272A797626}"/>
            </a:ext>
          </a:extLst>
        </cdr:cNvPr>
        <cdr:cNvSpPr txBox="1"/>
      </cdr:nvSpPr>
      <cdr:spPr>
        <a:xfrm xmlns:a="http://schemas.openxmlformats.org/drawingml/2006/main">
          <a:off x="581806" y="-195183"/>
          <a:ext cx="2487283" cy="431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t>DR</a:t>
          </a:r>
          <a:r>
            <a:rPr lang="en-IN" sz="1600" b="1" kern="1200" baseline="0"/>
            <a:t> BY FEES</a:t>
          </a:r>
          <a:endParaRPr lang="en-IN" sz="16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47</xdr:row>
      <xdr:rowOff>16566</xdr:rowOff>
    </xdr:to>
    <xdr:sp macro="" textlink="">
      <xdr:nvSpPr>
        <xdr:cNvPr id="2" name="Rectangle 1">
          <a:extLst>
            <a:ext uri="{FF2B5EF4-FFF2-40B4-BE49-F238E27FC236}">
              <a16:creationId xmlns:a16="http://schemas.microsoft.com/office/drawing/2014/main" id="{A7783644-08D4-4910-8518-F9E2A39ED705}"/>
            </a:ext>
          </a:extLst>
        </xdr:cNvPr>
        <xdr:cNvSpPr/>
      </xdr:nvSpPr>
      <xdr:spPr>
        <a:xfrm>
          <a:off x="0" y="0"/>
          <a:ext cx="17511623" cy="88011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190500</xdr:colOff>
      <xdr:row>0</xdr:row>
      <xdr:rowOff>71439</xdr:rowOff>
    </xdr:from>
    <xdr:to>
      <xdr:col>16</xdr:col>
      <xdr:colOff>369093</xdr:colOff>
      <xdr:row>5</xdr:row>
      <xdr:rowOff>83345</xdr:rowOff>
    </xdr:to>
    <xdr:sp macro="" textlink="">
      <xdr:nvSpPr>
        <xdr:cNvPr id="3" name="Rectangle: Rounded Corners 2">
          <a:extLst>
            <a:ext uri="{FF2B5EF4-FFF2-40B4-BE49-F238E27FC236}">
              <a16:creationId xmlns:a16="http://schemas.microsoft.com/office/drawing/2014/main" id="{74021B58-19E4-4472-91B8-44DF344E5554}"/>
            </a:ext>
          </a:extLst>
        </xdr:cNvPr>
        <xdr:cNvSpPr/>
      </xdr:nvSpPr>
      <xdr:spPr>
        <a:xfrm>
          <a:off x="190500" y="71439"/>
          <a:ext cx="9932193" cy="926306"/>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solidFill>
                <a:srgbClr val="00B050"/>
              </a:solidFill>
            </a:rPr>
            <a:t>CITY </a:t>
          </a:r>
          <a:r>
            <a:rPr lang="en-US" sz="4000" b="1">
              <a:solidFill>
                <a:srgbClr val="00B050"/>
              </a:solidFill>
            </a:rPr>
            <a:t>HOSPITAL-AHEMDABAD </a:t>
          </a:r>
          <a:endParaRPr lang="en-IN" sz="4000" b="1">
            <a:solidFill>
              <a:srgbClr val="00B050"/>
            </a:solidFill>
          </a:endParaRPr>
        </a:p>
      </xdr:txBody>
    </xdr:sp>
    <xdr:clientData/>
  </xdr:twoCellAnchor>
  <xdr:twoCellAnchor editAs="oneCell">
    <xdr:from>
      <xdr:col>1</xdr:col>
      <xdr:colOff>261938</xdr:colOff>
      <xdr:row>0</xdr:row>
      <xdr:rowOff>0</xdr:rowOff>
    </xdr:from>
    <xdr:to>
      <xdr:col>2</xdr:col>
      <xdr:colOff>569119</xdr:colOff>
      <xdr:row>5</xdr:row>
      <xdr:rowOff>21431</xdr:rowOff>
    </xdr:to>
    <xdr:pic>
      <xdr:nvPicPr>
        <xdr:cNvPr id="4" name="Graphic 3" descr="Medical with solid fill">
          <a:extLst>
            <a:ext uri="{FF2B5EF4-FFF2-40B4-BE49-F238E27FC236}">
              <a16:creationId xmlns:a16="http://schemas.microsoft.com/office/drawing/2014/main" id="{0743E935-AA7C-4756-B21E-5018ABB398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1538" y="0"/>
          <a:ext cx="916781" cy="935831"/>
        </a:xfrm>
        <a:prstGeom prst="rect">
          <a:avLst/>
        </a:prstGeom>
      </xdr:spPr>
    </xdr:pic>
    <xdr:clientData/>
  </xdr:twoCellAnchor>
  <xdr:twoCellAnchor editAs="oneCell">
    <xdr:from>
      <xdr:col>14</xdr:col>
      <xdr:colOff>71438</xdr:colOff>
      <xdr:row>0</xdr:row>
      <xdr:rowOff>23813</xdr:rowOff>
    </xdr:from>
    <xdr:to>
      <xdr:col>15</xdr:col>
      <xdr:colOff>378620</xdr:colOff>
      <xdr:row>5</xdr:row>
      <xdr:rowOff>45244</xdr:rowOff>
    </xdr:to>
    <xdr:pic>
      <xdr:nvPicPr>
        <xdr:cNvPr id="5" name="Graphic 4" descr="Medical with solid fill">
          <a:extLst>
            <a:ext uri="{FF2B5EF4-FFF2-40B4-BE49-F238E27FC236}">
              <a16:creationId xmlns:a16="http://schemas.microsoft.com/office/drawing/2014/main" id="{7DA15DA8-1728-41B7-AE5D-6506F0288F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05838" y="23813"/>
          <a:ext cx="916782" cy="935831"/>
        </a:xfrm>
        <a:prstGeom prst="rect">
          <a:avLst/>
        </a:prstGeom>
      </xdr:spPr>
    </xdr:pic>
    <xdr:clientData/>
  </xdr:twoCellAnchor>
  <xdr:twoCellAnchor>
    <xdr:from>
      <xdr:col>17</xdr:col>
      <xdr:colOff>226220</xdr:colOff>
      <xdr:row>0</xdr:row>
      <xdr:rowOff>71437</xdr:rowOff>
    </xdr:from>
    <xdr:to>
      <xdr:col>20</xdr:col>
      <xdr:colOff>253999</xdr:colOff>
      <xdr:row>5</xdr:row>
      <xdr:rowOff>83343</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8973A58D-0F8F-4527-BEA4-2CA22AFDCE1C}"/>
            </a:ext>
          </a:extLst>
        </xdr:cNvPr>
        <xdr:cNvSpPr/>
      </xdr:nvSpPr>
      <xdr:spPr>
        <a:xfrm>
          <a:off x="10589420" y="71437"/>
          <a:ext cx="1856579" cy="926306"/>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rgbClr val="00B050"/>
              </a:solidFill>
            </a:rPr>
            <a:t>     HOME</a:t>
          </a:r>
        </a:p>
      </xdr:txBody>
    </xdr:sp>
    <xdr:clientData/>
  </xdr:twoCellAnchor>
  <xdr:twoCellAnchor>
    <xdr:from>
      <xdr:col>20</xdr:col>
      <xdr:colOff>438152</xdr:colOff>
      <xdr:row>0</xdr:row>
      <xdr:rowOff>69056</xdr:rowOff>
    </xdr:from>
    <xdr:to>
      <xdr:col>23</xdr:col>
      <xdr:colOff>247650</xdr:colOff>
      <xdr:row>5</xdr:row>
      <xdr:rowOff>80962</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4DD928E0-B386-4880-BCB9-D6EFD1973BAE}"/>
            </a:ext>
          </a:extLst>
        </xdr:cNvPr>
        <xdr:cNvSpPr/>
      </xdr:nvSpPr>
      <xdr:spPr>
        <a:xfrm>
          <a:off x="12630152" y="69056"/>
          <a:ext cx="1638298" cy="926306"/>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rgbClr val="00B050"/>
              </a:solidFill>
            </a:rPr>
            <a:t>      DR</a:t>
          </a:r>
        </a:p>
      </xdr:txBody>
    </xdr:sp>
    <xdr:clientData/>
  </xdr:twoCellAnchor>
  <xdr:twoCellAnchor>
    <xdr:from>
      <xdr:col>23</xdr:col>
      <xdr:colOff>595495</xdr:colOff>
      <xdr:row>0</xdr:row>
      <xdr:rowOff>71616</xdr:rowOff>
    </xdr:from>
    <xdr:to>
      <xdr:col>26</xdr:col>
      <xdr:colOff>404992</xdr:colOff>
      <xdr:row>5</xdr:row>
      <xdr:rowOff>83522</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C45C0CB6-DFCA-4C21-B2A3-745B6602F6F4}"/>
            </a:ext>
          </a:extLst>
        </xdr:cNvPr>
        <xdr:cNvSpPr/>
      </xdr:nvSpPr>
      <xdr:spPr>
        <a:xfrm>
          <a:off x="14616295" y="71616"/>
          <a:ext cx="1638297" cy="926306"/>
        </a:xfrm>
        <a:prstGeom prst="roundRect">
          <a:avLst/>
        </a:prstGeom>
        <a:solidFill>
          <a:srgbClr val="00B050"/>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b="1">
              <a:solidFill>
                <a:srgbClr val="00B050"/>
              </a:solidFill>
            </a:rPr>
            <a:t>   </a:t>
          </a:r>
          <a:r>
            <a:rPr lang="en-US" sz="3200" b="1">
              <a:solidFill>
                <a:schemeClr val="bg1"/>
              </a:solidFill>
            </a:rPr>
            <a:t>PROFI</a:t>
          </a:r>
          <a:r>
            <a:rPr lang="en-US" sz="4000" b="1">
              <a:solidFill>
                <a:srgbClr val="00B050"/>
              </a:solidFill>
            </a:rPr>
            <a:t> </a:t>
          </a:r>
          <a:endParaRPr lang="en-IN" sz="4000" b="1">
            <a:solidFill>
              <a:srgbClr val="00B050"/>
            </a:solidFill>
          </a:endParaRPr>
        </a:p>
      </xdr:txBody>
    </xdr:sp>
    <xdr:clientData/>
  </xdr:twoCellAnchor>
  <xdr:twoCellAnchor>
    <xdr:from>
      <xdr:col>17</xdr:col>
      <xdr:colOff>214313</xdr:colOff>
      <xdr:row>7</xdr:row>
      <xdr:rowOff>35719</xdr:rowOff>
    </xdr:from>
    <xdr:to>
      <xdr:col>26</xdr:col>
      <xdr:colOff>238126</xdr:colOff>
      <xdr:row>12</xdr:row>
      <xdr:rowOff>95250</xdr:rowOff>
    </xdr:to>
    <xdr:sp macro="" textlink="">
      <xdr:nvSpPr>
        <xdr:cNvPr id="9" name="Rectangle: Rounded Corners 8">
          <a:extLst>
            <a:ext uri="{FF2B5EF4-FFF2-40B4-BE49-F238E27FC236}">
              <a16:creationId xmlns:a16="http://schemas.microsoft.com/office/drawing/2014/main" id="{8B48B6EC-80D0-483B-B9F8-46601D98B881}"/>
            </a:ext>
          </a:extLst>
        </xdr:cNvPr>
        <xdr:cNvSpPr/>
      </xdr:nvSpPr>
      <xdr:spPr>
        <a:xfrm>
          <a:off x="10577513" y="1315879"/>
          <a:ext cx="5510213" cy="973931"/>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4000" b="1">
            <a:solidFill>
              <a:srgbClr val="00B050"/>
            </a:solidFill>
          </a:endParaRPr>
        </a:p>
      </xdr:txBody>
    </xdr:sp>
    <xdr:clientData/>
  </xdr:twoCellAnchor>
  <xdr:twoCellAnchor editAs="oneCell">
    <xdr:from>
      <xdr:col>17</xdr:col>
      <xdr:colOff>238126</xdr:colOff>
      <xdr:row>7</xdr:row>
      <xdr:rowOff>47625</xdr:rowOff>
    </xdr:from>
    <xdr:to>
      <xdr:col>26</xdr:col>
      <xdr:colOff>202407</xdr:colOff>
      <xdr:row>12</xdr:row>
      <xdr:rowOff>71438</xdr:rowOff>
    </xdr:to>
    <mc:AlternateContent xmlns:mc="http://schemas.openxmlformats.org/markup-compatibility/2006">
      <mc:Choice xmlns:tsle="http://schemas.microsoft.com/office/drawing/2012/timeslicer" Requires="tsle">
        <xdr:graphicFrame macro="">
          <xdr:nvGraphicFramePr>
            <xdr:cNvPr id="10" name="Admission_Date 3">
              <a:extLst>
                <a:ext uri="{FF2B5EF4-FFF2-40B4-BE49-F238E27FC236}">
                  <a16:creationId xmlns:a16="http://schemas.microsoft.com/office/drawing/2014/main" id="{5ADB86F6-CB3E-4AE9-A47A-B65CBA820AAA}"/>
                </a:ext>
              </a:extLst>
            </xdr:cNvPr>
            <xdr:cNvGraphicFramePr/>
          </xdr:nvGraphicFramePr>
          <xdr:xfrm>
            <a:off x="0" y="0"/>
            <a:ext cx="0" cy="0"/>
          </xdr:xfrm>
          <a:graphic>
            <a:graphicData uri="http://schemas.microsoft.com/office/drawing/2012/timeslicer">
              <tsle:timeslicer xmlns:tsle="http://schemas.microsoft.com/office/drawing/2012/timeslicer" name="Admission_Date 3"/>
            </a:graphicData>
          </a:graphic>
        </xdr:graphicFrame>
      </mc:Choice>
      <mc:Fallback>
        <xdr:sp macro="" textlink="">
          <xdr:nvSpPr>
            <xdr:cNvPr id="0" name=""/>
            <xdr:cNvSpPr>
              <a:spLocks noTextEdit="1"/>
            </xdr:cNvSpPr>
          </xdr:nvSpPr>
          <xdr:spPr>
            <a:xfrm>
              <a:off x="10503560" y="1355965"/>
              <a:ext cx="5398922" cy="958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153208</xdr:colOff>
      <xdr:row>7</xdr:row>
      <xdr:rowOff>22912</xdr:rowOff>
    </xdr:from>
    <xdr:to>
      <xdr:col>6</xdr:col>
      <xdr:colOff>158151</xdr:colOff>
      <xdr:row>12</xdr:row>
      <xdr:rowOff>22913</xdr:rowOff>
    </xdr:to>
    <xdr:sp macro="" textlink="Table!B186">
      <xdr:nvSpPr>
        <xdr:cNvPr id="11" name="Rectangle: Rounded Corners 10">
          <a:extLst>
            <a:ext uri="{FF2B5EF4-FFF2-40B4-BE49-F238E27FC236}">
              <a16:creationId xmlns:a16="http://schemas.microsoft.com/office/drawing/2014/main" id="{6188D235-47A8-4D61-BB8B-3C4E20822A0F}"/>
            </a:ext>
          </a:extLst>
        </xdr:cNvPr>
        <xdr:cNvSpPr/>
      </xdr:nvSpPr>
      <xdr:spPr>
        <a:xfrm>
          <a:off x="757057" y="1331252"/>
          <a:ext cx="3024188" cy="934529"/>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a:solidFill>
                <a:schemeClr val="bg1"/>
              </a:solidFill>
              <a:effectLst/>
              <a:latin typeface="+mn-lt"/>
              <a:ea typeface="+mn-ea"/>
              <a:cs typeface="+mn-cs"/>
            </a:rPr>
            <a:t>TOTAL PROFITS</a:t>
          </a:r>
        </a:p>
        <a:p>
          <a:pPr algn="ctr"/>
          <a:fld id="{129F11F3-7834-4198-8D3F-810E6CF842BE}" type="TxLink">
            <a:rPr lang="en-US" sz="2400" b="1" i="0" u="none" strike="noStrike">
              <a:solidFill>
                <a:schemeClr val="bg1"/>
              </a:solidFill>
              <a:latin typeface="Calibri"/>
              <a:cs typeface="Calibri"/>
            </a:rPr>
            <a:t>15602730</a:t>
          </a:fld>
          <a:endParaRPr lang="en-US" sz="2400" b="1" i="0" u="none" strike="noStrike">
            <a:solidFill>
              <a:schemeClr val="bg1"/>
            </a:solidFill>
            <a:latin typeface="Calibri"/>
            <a:cs typeface="Calibri"/>
          </a:endParaRPr>
        </a:p>
      </xdr:txBody>
    </xdr:sp>
    <xdr:clientData/>
  </xdr:twoCellAnchor>
  <xdr:twoCellAnchor>
    <xdr:from>
      <xdr:col>5</xdr:col>
      <xdr:colOff>50799</xdr:colOff>
      <xdr:row>14</xdr:row>
      <xdr:rowOff>136525</xdr:rowOff>
    </xdr:from>
    <xdr:to>
      <xdr:col>14</xdr:col>
      <xdr:colOff>443706</xdr:colOff>
      <xdr:row>42</xdr:row>
      <xdr:rowOff>53975</xdr:rowOff>
    </xdr:to>
    <xdr:sp macro="" textlink="">
      <xdr:nvSpPr>
        <xdr:cNvPr id="14" name="Rectangle: Rounded Corners 13">
          <a:extLst>
            <a:ext uri="{FF2B5EF4-FFF2-40B4-BE49-F238E27FC236}">
              <a16:creationId xmlns:a16="http://schemas.microsoft.com/office/drawing/2014/main" id="{547D9B4D-725F-4A34-847A-9AF37BBACE62}"/>
            </a:ext>
          </a:extLst>
        </xdr:cNvPr>
        <xdr:cNvSpPr/>
      </xdr:nvSpPr>
      <xdr:spPr>
        <a:xfrm>
          <a:off x="3098799" y="2696845"/>
          <a:ext cx="5879307" cy="503809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162718</xdr:colOff>
      <xdr:row>29</xdr:row>
      <xdr:rowOff>38100</xdr:rowOff>
    </xdr:from>
    <xdr:to>
      <xdr:col>26</xdr:col>
      <xdr:colOff>427830</xdr:colOff>
      <xdr:row>42</xdr:row>
      <xdr:rowOff>88900</xdr:rowOff>
    </xdr:to>
    <xdr:sp macro="" textlink="">
      <xdr:nvSpPr>
        <xdr:cNvPr id="15" name="Rectangle: Rounded Corners 14">
          <a:extLst>
            <a:ext uri="{FF2B5EF4-FFF2-40B4-BE49-F238E27FC236}">
              <a16:creationId xmlns:a16="http://schemas.microsoft.com/office/drawing/2014/main" id="{A340F2A5-D269-4FDC-8A92-2B9CB01375E1}"/>
            </a:ext>
          </a:extLst>
        </xdr:cNvPr>
        <xdr:cNvSpPr/>
      </xdr:nvSpPr>
      <xdr:spPr>
        <a:xfrm>
          <a:off x="9306718" y="5341620"/>
          <a:ext cx="6970712" cy="242824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114300</xdr:colOff>
      <xdr:row>15</xdr:row>
      <xdr:rowOff>25400</xdr:rowOff>
    </xdr:from>
    <xdr:to>
      <xdr:col>26</xdr:col>
      <xdr:colOff>379412</xdr:colOff>
      <xdr:row>28</xdr:row>
      <xdr:rowOff>76200</xdr:rowOff>
    </xdr:to>
    <xdr:sp macro="" textlink="">
      <xdr:nvSpPr>
        <xdr:cNvPr id="17" name="Rectangle: Rounded Corners 16">
          <a:extLst>
            <a:ext uri="{FF2B5EF4-FFF2-40B4-BE49-F238E27FC236}">
              <a16:creationId xmlns:a16="http://schemas.microsoft.com/office/drawing/2014/main" id="{60C2A931-50E4-49D5-8C2B-6809C8B153F2}"/>
            </a:ext>
          </a:extLst>
        </xdr:cNvPr>
        <xdr:cNvSpPr/>
      </xdr:nvSpPr>
      <xdr:spPr>
        <a:xfrm>
          <a:off x="9258300" y="2768600"/>
          <a:ext cx="6970712" cy="242824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88900</xdr:colOff>
      <xdr:row>15</xdr:row>
      <xdr:rowOff>50800</xdr:rowOff>
    </xdr:from>
    <xdr:to>
      <xdr:col>4</xdr:col>
      <xdr:colOff>431800</xdr:colOff>
      <xdr:row>42</xdr:row>
      <xdr:rowOff>146050</xdr:rowOff>
    </xdr:to>
    <xdr:sp macro="" textlink="">
      <xdr:nvSpPr>
        <xdr:cNvPr id="19" name="Rectangle: Rounded Corners 18">
          <a:extLst>
            <a:ext uri="{FF2B5EF4-FFF2-40B4-BE49-F238E27FC236}">
              <a16:creationId xmlns:a16="http://schemas.microsoft.com/office/drawing/2014/main" id="{963A8C20-FC79-4698-B9F5-0576CE3336B0}"/>
            </a:ext>
          </a:extLst>
        </xdr:cNvPr>
        <xdr:cNvSpPr/>
      </xdr:nvSpPr>
      <xdr:spPr>
        <a:xfrm>
          <a:off x="88900" y="2794000"/>
          <a:ext cx="2781300" cy="503301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215661</xdr:colOff>
      <xdr:row>15</xdr:row>
      <xdr:rowOff>115019</xdr:rowOff>
    </xdr:from>
    <xdr:to>
      <xdr:col>10</xdr:col>
      <xdr:colOff>445698</xdr:colOff>
      <xdr:row>17</xdr:row>
      <xdr:rowOff>115019</xdr:rowOff>
    </xdr:to>
    <xdr:sp macro="" textlink="">
      <xdr:nvSpPr>
        <xdr:cNvPr id="24" name="TextBox 23">
          <a:extLst>
            <a:ext uri="{FF2B5EF4-FFF2-40B4-BE49-F238E27FC236}">
              <a16:creationId xmlns:a16="http://schemas.microsoft.com/office/drawing/2014/main" id="{D7394DDA-CF40-4A9F-B56E-496297738209}"/>
            </a:ext>
          </a:extLst>
        </xdr:cNvPr>
        <xdr:cNvSpPr txBox="1"/>
      </xdr:nvSpPr>
      <xdr:spPr>
        <a:xfrm>
          <a:off x="3263661" y="2858219"/>
          <a:ext cx="3278037"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PROFITS</a:t>
          </a:r>
          <a:r>
            <a:rPr lang="en-US" sz="1600" b="1" baseline="0"/>
            <a:t> BY DOCTOR </a:t>
          </a:r>
          <a:endParaRPr lang="en-IN" sz="1600" b="1"/>
        </a:p>
      </xdr:txBody>
    </xdr:sp>
    <xdr:clientData/>
  </xdr:twoCellAnchor>
  <xdr:twoCellAnchor>
    <xdr:from>
      <xdr:col>16</xdr:col>
      <xdr:colOff>56790</xdr:colOff>
      <xdr:row>14</xdr:row>
      <xdr:rowOff>90098</xdr:rowOff>
    </xdr:from>
    <xdr:to>
      <xdr:col>21</xdr:col>
      <xdr:colOff>286828</xdr:colOff>
      <xdr:row>16</xdr:row>
      <xdr:rowOff>90097</xdr:rowOff>
    </xdr:to>
    <xdr:sp macro="" textlink="">
      <xdr:nvSpPr>
        <xdr:cNvPr id="25" name="TextBox 24">
          <a:extLst>
            <a:ext uri="{FF2B5EF4-FFF2-40B4-BE49-F238E27FC236}">
              <a16:creationId xmlns:a16="http://schemas.microsoft.com/office/drawing/2014/main" id="{2655A4BE-7DB9-41E3-ABB0-CEB8A54244DB}"/>
            </a:ext>
          </a:extLst>
        </xdr:cNvPr>
        <xdr:cNvSpPr txBox="1"/>
      </xdr:nvSpPr>
      <xdr:spPr>
        <a:xfrm>
          <a:off x="9718375" y="2706777"/>
          <a:ext cx="3249283" cy="3738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PROFITS</a:t>
          </a:r>
          <a:r>
            <a:rPr lang="en-US" sz="1600" b="1" baseline="0"/>
            <a:t> BY MONTH </a:t>
          </a:r>
          <a:endParaRPr lang="en-IN" sz="1600" b="1"/>
        </a:p>
      </xdr:txBody>
    </xdr:sp>
    <xdr:clientData/>
  </xdr:twoCellAnchor>
  <xdr:twoCellAnchor editAs="oneCell">
    <xdr:from>
      <xdr:col>17</xdr:col>
      <xdr:colOff>258792</xdr:colOff>
      <xdr:row>1</xdr:row>
      <xdr:rowOff>28755</xdr:rowOff>
    </xdr:from>
    <xdr:to>
      <xdr:col>18</xdr:col>
      <xdr:colOff>201283</xdr:colOff>
      <xdr:row>4</xdr:row>
      <xdr:rowOff>14378</xdr:rowOff>
    </xdr:to>
    <xdr:pic>
      <xdr:nvPicPr>
        <xdr:cNvPr id="26" name="Graphic 25" descr="Home with solid fill">
          <a:extLst>
            <a:ext uri="{FF2B5EF4-FFF2-40B4-BE49-F238E27FC236}">
              <a16:creationId xmlns:a16="http://schemas.microsoft.com/office/drawing/2014/main" id="{2A653FC1-46BB-434A-99A7-99C47D9657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621992" y="211635"/>
          <a:ext cx="552091" cy="534263"/>
        </a:xfrm>
        <a:prstGeom prst="rect">
          <a:avLst/>
        </a:prstGeom>
      </xdr:spPr>
    </xdr:pic>
    <xdr:clientData/>
  </xdr:twoCellAnchor>
  <xdr:twoCellAnchor editAs="oneCell">
    <xdr:from>
      <xdr:col>21</xdr:col>
      <xdr:colOff>143775</xdr:colOff>
      <xdr:row>1</xdr:row>
      <xdr:rowOff>100642</xdr:rowOff>
    </xdr:from>
    <xdr:to>
      <xdr:col>22</xdr:col>
      <xdr:colOff>57511</xdr:colOff>
      <xdr:row>4</xdr:row>
      <xdr:rowOff>57510</xdr:rowOff>
    </xdr:to>
    <xdr:pic>
      <xdr:nvPicPr>
        <xdr:cNvPr id="27" name="Graphic 26" descr="Stethoscope with solid fill">
          <a:extLst>
            <a:ext uri="{FF2B5EF4-FFF2-40B4-BE49-F238E27FC236}">
              <a16:creationId xmlns:a16="http://schemas.microsoft.com/office/drawing/2014/main" id="{1246023A-24DD-43B8-8025-CE5E4D55006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45375" y="283522"/>
          <a:ext cx="523336" cy="505508"/>
        </a:xfrm>
        <a:prstGeom prst="rect">
          <a:avLst/>
        </a:prstGeom>
      </xdr:spPr>
    </xdr:pic>
    <xdr:clientData/>
  </xdr:twoCellAnchor>
  <xdr:twoCellAnchor editAs="oneCell">
    <xdr:from>
      <xdr:col>23</xdr:col>
      <xdr:colOff>575095</xdr:colOff>
      <xdr:row>1</xdr:row>
      <xdr:rowOff>115019</xdr:rowOff>
    </xdr:from>
    <xdr:to>
      <xdr:col>24</xdr:col>
      <xdr:colOff>402567</xdr:colOff>
      <xdr:row>3</xdr:row>
      <xdr:rowOff>172529</xdr:rowOff>
    </xdr:to>
    <xdr:pic>
      <xdr:nvPicPr>
        <xdr:cNvPr id="28" name="Graphic 27" descr="Money with solid fill">
          <a:extLst>
            <a:ext uri="{FF2B5EF4-FFF2-40B4-BE49-F238E27FC236}">
              <a16:creationId xmlns:a16="http://schemas.microsoft.com/office/drawing/2014/main" id="{302A0302-BC03-4614-B63D-5C2DC7EDFD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595895" y="297899"/>
          <a:ext cx="437072" cy="423270"/>
        </a:xfrm>
        <a:prstGeom prst="rect">
          <a:avLst/>
        </a:prstGeom>
      </xdr:spPr>
    </xdr:pic>
    <xdr:clientData/>
  </xdr:twoCellAnchor>
  <xdr:twoCellAnchor>
    <xdr:from>
      <xdr:col>0</xdr:col>
      <xdr:colOff>301924</xdr:colOff>
      <xdr:row>16</xdr:row>
      <xdr:rowOff>172526</xdr:rowOff>
    </xdr:from>
    <xdr:to>
      <xdr:col>4</xdr:col>
      <xdr:colOff>402566</xdr:colOff>
      <xdr:row>18</xdr:row>
      <xdr:rowOff>100640</xdr:rowOff>
    </xdr:to>
    <xdr:sp macro="" textlink="">
      <xdr:nvSpPr>
        <xdr:cNvPr id="32" name="TextBox 31">
          <a:extLst>
            <a:ext uri="{FF2B5EF4-FFF2-40B4-BE49-F238E27FC236}">
              <a16:creationId xmlns:a16="http://schemas.microsoft.com/office/drawing/2014/main" id="{4005C631-1158-4ADB-A142-A4D6CA473EBE}"/>
            </a:ext>
          </a:extLst>
        </xdr:cNvPr>
        <xdr:cNvSpPr txBox="1"/>
      </xdr:nvSpPr>
      <xdr:spPr>
        <a:xfrm>
          <a:off x="301924" y="3098606"/>
          <a:ext cx="2539042" cy="29387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PROFITS </a:t>
          </a:r>
          <a:r>
            <a:rPr lang="en-IN" sz="1600" b="1" baseline="0"/>
            <a:t> BY CITY</a:t>
          </a:r>
          <a:endParaRPr lang="en-IN" sz="1600" b="1"/>
        </a:p>
      </xdr:txBody>
    </xdr:sp>
    <xdr:clientData/>
  </xdr:twoCellAnchor>
  <xdr:twoCellAnchor>
    <xdr:from>
      <xdr:col>15</xdr:col>
      <xdr:colOff>28035</xdr:colOff>
      <xdr:row>16</xdr:row>
      <xdr:rowOff>28755</xdr:rowOff>
    </xdr:from>
    <xdr:to>
      <xdr:col>26</xdr:col>
      <xdr:colOff>100641</xdr:colOff>
      <xdr:row>27</xdr:row>
      <xdr:rowOff>134669</xdr:rowOff>
    </xdr:to>
    <xdr:graphicFrame macro="">
      <xdr:nvGraphicFramePr>
        <xdr:cNvPr id="33" name="Chart 32">
          <a:extLst>
            <a:ext uri="{FF2B5EF4-FFF2-40B4-BE49-F238E27FC236}">
              <a16:creationId xmlns:a16="http://schemas.microsoft.com/office/drawing/2014/main" id="{7F8A5BE9-3C0B-4602-94EE-DA5AB8523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162718</xdr:colOff>
      <xdr:row>31</xdr:row>
      <xdr:rowOff>129396</xdr:rowOff>
    </xdr:from>
    <xdr:to>
      <xdr:col>26</xdr:col>
      <xdr:colOff>316303</xdr:colOff>
      <xdr:row>40</xdr:row>
      <xdr:rowOff>129397</xdr:rowOff>
    </xdr:to>
    <xdr:graphicFrame macro="">
      <xdr:nvGraphicFramePr>
        <xdr:cNvPr id="34" name="Chart 33">
          <a:extLst>
            <a:ext uri="{FF2B5EF4-FFF2-40B4-BE49-F238E27FC236}">
              <a16:creationId xmlns:a16="http://schemas.microsoft.com/office/drawing/2014/main" id="{4D90034A-CB44-457B-BB89-B35ADBB81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28754</xdr:colOff>
      <xdr:row>29</xdr:row>
      <xdr:rowOff>115019</xdr:rowOff>
    </xdr:from>
    <xdr:to>
      <xdr:col>19</xdr:col>
      <xdr:colOff>546339</xdr:colOff>
      <xdr:row>31</xdr:row>
      <xdr:rowOff>71887</xdr:rowOff>
    </xdr:to>
    <xdr:sp macro="" textlink="">
      <xdr:nvSpPr>
        <xdr:cNvPr id="42" name="TextBox 41">
          <a:extLst>
            <a:ext uri="{FF2B5EF4-FFF2-40B4-BE49-F238E27FC236}">
              <a16:creationId xmlns:a16="http://schemas.microsoft.com/office/drawing/2014/main" id="{F23BA4C8-EBC5-E5C0-7E5D-9BD48243616B}"/>
            </a:ext>
          </a:extLst>
        </xdr:cNvPr>
        <xdr:cNvSpPr txBox="1"/>
      </xdr:nvSpPr>
      <xdr:spPr>
        <a:xfrm>
          <a:off x="9690339" y="5535283"/>
          <a:ext cx="2329132" cy="330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PROFITS  BY Department</a:t>
          </a:r>
          <a:endParaRPr lang="en-IN" sz="1600" b="1"/>
        </a:p>
      </xdr:txBody>
    </xdr:sp>
    <xdr:clientData/>
  </xdr:twoCellAnchor>
  <xdr:twoCellAnchor>
    <xdr:from>
      <xdr:col>5</xdr:col>
      <xdr:colOff>295213</xdr:colOff>
      <xdr:row>18</xdr:row>
      <xdr:rowOff>51410</xdr:rowOff>
    </xdr:from>
    <xdr:to>
      <xdr:col>14</xdr:col>
      <xdr:colOff>201282</xdr:colOff>
      <xdr:row>40</xdr:row>
      <xdr:rowOff>100641</xdr:rowOff>
    </xdr:to>
    <xdr:graphicFrame macro="">
      <xdr:nvGraphicFramePr>
        <xdr:cNvPr id="43" name="Chart 42">
          <a:extLst>
            <a:ext uri="{FF2B5EF4-FFF2-40B4-BE49-F238E27FC236}">
              <a16:creationId xmlns:a16="http://schemas.microsoft.com/office/drawing/2014/main" id="{EA185655-22D7-4A1C-9342-FDD6CA89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88900</xdr:colOff>
      <xdr:row>18</xdr:row>
      <xdr:rowOff>43132</xdr:rowOff>
    </xdr:from>
    <xdr:to>
      <xdr:col>4</xdr:col>
      <xdr:colOff>330679</xdr:colOff>
      <xdr:row>41</xdr:row>
      <xdr:rowOff>14376</xdr:rowOff>
    </xdr:to>
    <xdr:graphicFrame macro="">
      <xdr:nvGraphicFramePr>
        <xdr:cNvPr id="44" name="Chart 43">
          <a:extLst>
            <a:ext uri="{FF2B5EF4-FFF2-40B4-BE49-F238E27FC236}">
              <a16:creationId xmlns:a16="http://schemas.microsoft.com/office/drawing/2014/main" id="{1BE92B0D-A798-4A64-BD56-8A2FEBC78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172529</xdr:colOff>
      <xdr:row>8</xdr:row>
      <xdr:rowOff>14377</xdr:rowOff>
    </xdr:from>
    <xdr:to>
      <xdr:col>2</xdr:col>
      <xdr:colOff>158152</xdr:colOff>
      <xdr:row>11</xdr:row>
      <xdr:rowOff>43132</xdr:rowOff>
    </xdr:to>
    <xdr:pic>
      <xdr:nvPicPr>
        <xdr:cNvPr id="46" name="Graphic 45" descr="Dollar with solid fill">
          <a:extLst>
            <a:ext uri="{FF2B5EF4-FFF2-40B4-BE49-F238E27FC236}">
              <a16:creationId xmlns:a16="http://schemas.microsoft.com/office/drawing/2014/main" id="{D37B5882-5EA7-1F46-51DD-9431DCEBAF1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76378" y="1509622"/>
          <a:ext cx="589472" cy="589472"/>
        </a:xfrm>
        <a:prstGeom prst="rect">
          <a:avLst/>
        </a:prstGeom>
      </xdr:spPr>
    </xdr:pic>
    <xdr:clientData/>
  </xdr:twoCellAnchor>
  <xdr:twoCellAnchor editAs="oneCell">
    <xdr:from>
      <xdr:col>7</xdr:col>
      <xdr:colOff>330680</xdr:colOff>
      <xdr:row>6</xdr:row>
      <xdr:rowOff>158150</xdr:rowOff>
    </xdr:from>
    <xdr:to>
      <xdr:col>16</xdr:col>
      <xdr:colOff>219398</xdr:colOff>
      <xdr:row>12</xdr:row>
      <xdr:rowOff>65416</xdr:rowOff>
    </xdr:to>
    <mc:AlternateContent xmlns:mc="http://schemas.openxmlformats.org/markup-compatibility/2006">
      <mc:Choice xmlns:a14="http://schemas.microsoft.com/office/drawing/2010/main" Requires="a14">
        <xdr:graphicFrame macro="">
          <xdr:nvGraphicFramePr>
            <xdr:cNvPr id="47" name="Doctor_Name">
              <a:extLst>
                <a:ext uri="{FF2B5EF4-FFF2-40B4-BE49-F238E27FC236}">
                  <a16:creationId xmlns:a16="http://schemas.microsoft.com/office/drawing/2014/main" id="{6AECE90A-48AD-4734-A044-2F39F95CA182}"/>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dr:sp macro="" textlink="">
          <xdr:nvSpPr>
            <xdr:cNvPr id="0" name=""/>
            <xdr:cNvSpPr>
              <a:spLocks noTextEdit="1"/>
            </xdr:cNvSpPr>
          </xdr:nvSpPr>
          <xdr:spPr>
            <a:xfrm>
              <a:off x="4557623" y="1279584"/>
              <a:ext cx="532336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5.609339467592" createdVersion="8" refreshedVersion="8" minRefreshableVersion="3" recordCount="1000" xr:uid="{5EF2FA29-8F6D-44C6-A389-EA180ED355DA}">
  <cacheSource type="worksheet">
    <worksheetSource name="Hospital_Data_2025"/>
  </cacheSource>
  <cacheFields count="22">
    <cacheField name="Patient_ID" numFmtId="0">
      <sharedItems count="1000">
        <s v="PID0001"/>
        <s v="PID0002"/>
        <s v="PID0003"/>
        <s v="PID0004"/>
        <s v="PID0005"/>
        <s v="PID0006"/>
        <s v="PID0007"/>
        <s v="PID0008"/>
        <s v="PID0009"/>
        <s v="PID0010"/>
        <s v="PID0011"/>
        <s v="PID0012"/>
        <s v="PID0013"/>
        <s v="PID0014"/>
        <s v="PID0015"/>
        <s v="PID0016"/>
        <s v="PID0017"/>
        <s v="PID0018"/>
        <s v="PID0019"/>
        <s v="PID0020"/>
        <s v="PID0021"/>
        <s v="PID0022"/>
        <s v="PID0023"/>
        <s v="PID0024"/>
        <s v="PID0025"/>
        <s v="PID0026"/>
        <s v="PID0027"/>
        <s v="PID0028"/>
        <s v="PID0029"/>
        <s v="PID0030"/>
        <s v="PID0031"/>
        <s v="PID0032"/>
        <s v="PID0033"/>
        <s v="PID0034"/>
        <s v="PID0035"/>
        <s v="PID0036"/>
        <s v="PID0037"/>
        <s v="PID0038"/>
        <s v="PID0039"/>
        <s v="PID0040"/>
        <s v="PID0041"/>
        <s v="PID0042"/>
        <s v="PID0043"/>
        <s v="PID0044"/>
        <s v="PID0045"/>
        <s v="PID0046"/>
        <s v="PID0047"/>
        <s v="PID0048"/>
        <s v="PID0049"/>
        <s v="PID0050"/>
        <s v="PID0051"/>
        <s v="PID0052"/>
        <s v="PID0053"/>
        <s v="PID0054"/>
        <s v="PID0055"/>
        <s v="PID0056"/>
        <s v="PID0057"/>
        <s v="PID0058"/>
        <s v="PID0059"/>
        <s v="PID0060"/>
        <s v="PID0061"/>
        <s v="PID0062"/>
        <s v="PID0063"/>
        <s v="PID0064"/>
        <s v="PID0065"/>
        <s v="PID0066"/>
        <s v="PID0067"/>
        <s v="PID0068"/>
        <s v="PID0069"/>
        <s v="PID0070"/>
        <s v="PID0071"/>
        <s v="PID0072"/>
        <s v="PID0073"/>
        <s v="PID0074"/>
        <s v="PID0075"/>
        <s v="PID0076"/>
        <s v="PID0077"/>
        <s v="PID0078"/>
        <s v="PID0079"/>
        <s v="PID0080"/>
        <s v="PID0081"/>
        <s v="PID0082"/>
        <s v="PID0083"/>
        <s v="PID0084"/>
        <s v="PID0085"/>
        <s v="PID0086"/>
        <s v="PID0087"/>
        <s v="PID0088"/>
        <s v="PID0089"/>
        <s v="PID0090"/>
        <s v="PID0091"/>
        <s v="PID0092"/>
        <s v="PID0093"/>
        <s v="PID0094"/>
        <s v="PID0095"/>
        <s v="PID0096"/>
        <s v="PID0097"/>
        <s v="PID0098"/>
        <s v="PID0099"/>
        <s v="PID0100"/>
        <s v="PID0101"/>
        <s v="PID0102"/>
        <s v="PID0103"/>
        <s v="PID0104"/>
        <s v="PID0105"/>
        <s v="PID0106"/>
        <s v="PID0107"/>
        <s v="PID0108"/>
        <s v="PID0109"/>
        <s v="PID0110"/>
        <s v="PID0111"/>
        <s v="PID0112"/>
        <s v="PID0113"/>
        <s v="PID0114"/>
        <s v="PID0115"/>
        <s v="PID0116"/>
        <s v="PID0117"/>
        <s v="PID0118"/>
        <s v="PID0119"/>
        <s v="PID0120"/>
        <s v="PID0121"/>
        <s v="PID0122"/>
        <s v="PID0123"/>
        <s v="PID0124"/>
        <s v="PID0125"/>
        <s v="PID0126"/>
        <s v="PID0127"/>
        <s v="PID0128"/>
        <s v="PID0129"/>
        <s v="PID0130"/>
        <s v="PID0131"/>
        <s v="PID0132"/>
        <s v="PID0133"/>
        <s v="PID0134"/>
        <s v="PID0135"/>
        <s v="PID0136"/>
        <s v="PID0137"/>
        <s v="PID0138"/>
        <s v="PID0139"/>
        <s v="PID0140"/>
        <s v="PID0141"/>
        <s v="PID0142"/>
        <s v="PID0143"/>
        <s v="PID0144"/>
        <s v="PID0145"/>
        <s v="PID0146"/>
        <s v="PID0147"/>
        <s v="PID0148"/>
        <s v="PID0149"/>
        <s v="PID0150"/>
        <s v="PID0151"/>
        <s v="PID0152"/>
        <s v="PID0153"/>
        <s v="PID0154"/>
        <s v="PID0155"/>
        <s v="PID0156"/>
        <s v="PID0157"/>
        <s v="PID0158"/>
        <s v="PID0159"/>
        <s v="PID0160"/>
        <s v="PID0161"/>
        <s v="PID0162"/>
        <s v="PID0163"/>
        <s v="PID0164"/>
        <s v="PID0165"/>
        <s v="PID0166"/>
        <s v="PID0167"/>
        <s v="PID0168"/>
        <s v="PID0169"/>
        <s v="PID0170"/>
        <s v="PID0171"/>
        <s v="PID0172"/>
        <s v="PID0173"/>
        <s v="PID0174"/>
        <s v="PID0175"/>
        <s v="PID0176"/>
        <s v="PID0177"/>
        <s v="PID0178"/>
        <s v="PID0179"/>
        <s v="PID0180"/>
        <s v="PID0181"/>
        <s v="PID0182"/>
        <s v="PID0183"/>
        <s v="PID0184"/>
        <s v="PID0185"/>
        <s v="PID0186"/>
        <s v="PID0187"/>
        <s v="PID0188"/>
        <s v="PID0189"/>
        <s v="PID0190"/>
        <s v="PID0191"/>
        <s v="PID0192"/>
        <s v="PID0193"/>
        <s v="PID0194"/>
        <s v="PID0195"/>
        <s v="PID0196"/>
        <s v="PID0197"/>
        <s v="PID0198"/>
        <s v="PID0199"/>
        <s v="PID0200"/>
        <s v="PID0201"/>
        <s v="PID0202"/>
        <s v="PID0203"/>
        <s v="PID0204"/>
        <s v="PID0205"/>
        <s v="PID0206"/>
        <s v="PID0207"/>
        <s v="PID0208"/>
        <s v="PID0209"/>
        <s v="PID0210"/>
        <s v="PID0211"/>
        <s v="PID0212"/>
        <s v="PID0213"/>
        <s v="PID0214"/>
        <s v="PID0215"/>
        <s v="PID0216"/>
        <s v="PID0217"/>
        <s v="PID0218"/>
        <s v="PID0219"/>
        <s v="PID0220"/>
        <s v="PID0221"/>
        <s v="PID0222"/>
        <s v="PID0223"/>
        <s v="PID0224"/>
        <s v="PID0225"/>
        <s v="PID0226"/>
        <s v="PID0227"/>
        <s v="PID0228"/>
        <s v="PID0229"/>
        <s v="PID0230"/>
        <s v="PID0231"/>
        <s v="PID0232"/>
        <s v="PID0233"/>
        <s v="PID0234"/>
        <s v="PID0235"/>
        <s v="PID0236"/>
        <s v="PID0237"/>
        <s v="PID0238"/>
        <s v="PID0239"/>
        <s v="PID0240"/>
        <s v="PID0241"/>
        <s v="PID0242"/>
        <s v="PID0243"/>
        <s v="PID0244"/>
        <s v="PID0245"/>
        <s v="PID0246"/>
        <s v="PID0247"/>
        <s v="PID0248"/>
        <s v="PID0249"/>
        <s v="PID0250"/>
        <s v="PID0251"/>
        <s v="PID0252"/>
        <s v="PID0253"/>
        <s v="PID0254"/>
        <s v="PID0255"/>
        <s v="PID0256"/>
        <s v="PID0257"/>
        <s v="PID0258"/>
        <s v="PID0259"/>
        <s v="PID0260"/>
        <s v="PID0261"/>
        <s v="PID0262"/>
        <s v="PID0263"/>
        <s v="PID0264"/>
        <s v="PID0265"/>
        <s v="PID0266"/>
        <s v="PID0267"/>
        <s v="PID0268"/>
        <s v="PID0269"/>
        <s v="PID0270"/>
        <s v="PID0271"/>
        <s v="PID0272"/>
        <s v="PID0273"/>
        <s v="PID0274"/>
        <s v="PID0275"/>
        <s v="PID0276"/>
        <s v="PID0277"/>
        <s v="PID0278"/>
        <s v="PID0279"/>
        <s v="PID0280"/>
        <s v="PID0281"/>
        <s v="PID0282"/>
        <s v="PID0283"/>
        <s v="PID0284"/>
        <s v="PID0285"/>
        <s v="PID0286"/>
        <s v="PID0287"/>
        <s v="PID0288"/>
        <s v="PID0289"/>
        <s v="PID0290"/>
        <s v="PID0291"/>
        <s v="PID0292"/>
        <s v="PID0293"/>
        <s v="PID0294"/>
        <s v="PID0295"/>
        <s v="PID0296"/>
        <s v="PID0297"/>
        <s v="PID0298"/>
        <s v="PID0299"/>
        <s v="PID0300"/>
        <s v="PID0301"/>
        <s v="PID0302"/>
        <s v="PID0303"/>
        <s v="PID0304"/>
        <s v="PID0305"/>
        <s v="PID0306"/>
        <s v="PID0307"/>
        <s v="PID0308"/>
        <s v="PID0309"/>
        <s v="PID0310"/>
        <s v="PID0311"/>
        <s v="PID0312"/>
        <s v="PID0313"/>
        <s v="PID0314"/>
        <s v="PID0315"/>
        <s v="PID0316"/>
        <s v="PID0317"/>
        <s v="PID0318"/>
        <s v="PID0319"/>
        <s v="PID0320"/>
        <s v="PID0321"/>
        <s v="PID0322"/>
        <s v="PID0323"/>
        <s v="PID0324"/>
        <s v="PID0325"/>
        <s v="PID0326"/>
        <s v="PID0327"/>
        <s v="PID0328"/>
        <s v="PID0329"/>
        <s v="PID0330"/>
        <s v="PID0331"/>
        <s v="PID0332"/>
        <s v="PID0333"/>
        <s v="PID0334"/>
        <s v="PID0335"/>
        <s v="PID0336"/>
        <s v="PID0337"/>
        <s v="PID0338"/>
        <s v="PID0339"/>
        <s v="PID0340"/>
        <s v="PID0341"/>
        <s v="PID0342"/>
        <s v="PID0343"/>
        <s v="PID0344"/>
        <s v="PID0345"/>
        <s v="PID0346"/>
        <s v="PID0347"/>
        <s v="PID0348"/>
        <s v="PID0349"/>
        <s v="PID0350"/>
        <s v="PID0351"/>
        <s v="PID0352"/>
        <s v="PID0353"/>
        <s v="PID0354"/>
        <s v="PID0355"/>
        <s v="PID0356"/>
        <s v="PID0357"/>
        <s v="PID0358"/>
        <s v="PID0359"/>
        <s v="PID0360"/>
        <s v="PID0361"/>
        <s v="PID0362"/>
        <s v="PID0363"/>
        <s v="PID0364"/>
        <s v="PID0365"/>
        <s v="PID0366"/>
        <s v="PID0367"/>
        <s v="PID0368"/>
        <s v="PID0369"/>
        <s v="PID0370"/>
        <s v="PID0371"/>
        <s v="PID0372"/>
        <s v="PID0373"/>
        <s v="PID0374"/>
        <s v="PID0375"/>
        <s v="PID0376"/>
        <s v="PID0377"/>
        <s v="PID0378"/>
        <s v="PID0379"/>
        <s v="PID0380"/>
        <s v="PID0381"/>
        <s v="PID0382"/>
        <s v="PID0383"/>
        <s v="PID0384"/>
        <s v="PID0385"/>
        <s v="PID0386"/>
        <s v="PID0387"/>
        <s v="PID0388"/>
        <s v="PID0389"/>
        <s v="PID0390"/>
        <s v="PID0391"/>
        <s v="PID0392"/>
        <s v="PID0393"/>
        <s v="PID0394"/>
        <s v="PID0395"/>
        <s v="PID0396"/>
        <s v="PID0397"/>
        <s v="PID0398"/>
        <s v="PID0399"/>
        <s v="PID0400"/>
        <s v="PID0401"/>
        <s v="PID0402"/>
        <s v="PID0403"/>
        <s v="PID0404"/>
        <s v="PID0405"/>
        <s v="PID0406"/>
        <s v="PID0407"/>
        <s v="PID0408"/>
        <s v="PID0409"/>
        <s v="PID0410"/>
        <s v="PID0411"/>
        <s v="PID0412"/>
        <s v="PID0413"/>
        <s v="PID0414"/>
        <s v="PID0415"/>
        <s v="PID0416"/>
        <s v="PID0417"/>
        <s v="PID0418"/>
        <s v="PID0419"/>
        <s v="PID0420"/>
        <s v="PID0421"/>
        <s v="PID0422"/>
        <s v="PID0423"/>
        <s v="PID0424"/>
        <s v="PID0425"/>
        <s v="PID0426"/>
        <s v="PID0427"/>
        <s v="PID0428"/>
        <s v="PID0429"/>
        <s v="PID0430"/>
        <s v="PID0431"/>
        <s v="PID0432"/>
        <s v="PID0433"/>
        <s v="PID0434"/>
        <s v="PID0435"/>
        <s v="PID0436"/>
        <s v="PID0437"/>
        <s v="PID0438"/>
        <s v="PID0439"/>
        <s v="PID0440"/>
        <s v="PID0441"/>
        <s v="PID0442"/>
        <s v="PID0443"/>
        <s v="PID0444"/>
        <s v="PID0445"/>
        <s v="PID0446"/>
        <s v="PID0447"/>
        <s v="PID0448"/>
        <s v="PID0449"/>
        <s v="PID0450"/>
        <s v="PID0451"/>
        <s v="PID0452"/>
        <s v="PID0453"/>
        <s v="PID0454"/>
        <s v="PID0455"/>
        <s v="PID0456"/>
        <s v="PID0457"/>
        <s v="PID0458"/>
        <s v="PID0459"/>
        <s v="PID0460"/>
        <s v="PID0461"/>
        <s v="PID0462"/>
        <s v="PID0463"/>
        <s v="PID0464"/>
        <s v="PID0465"/>
        <s v="PID0466"/>
        <s v="PID0467"/>
        <s v="PID0468"/>
        <s v="PID0469"/>
        <s v="PID0470"/>
        <s v="PID0471"/>
        <s v="PID0472"/>
        <s v="PID0473"/>
        <s v="PID0474"/>
        <s v="PID0475"/>
        <s v="PID0476"/>
        <s v="PID0477"/>
        <s v="PID0478"/>
        <s v="PID0479"/>
        <s v="PID0480"/>
        <s v="PID0481"/>
        <s v="PID0482"/>
        <s v="PID0483"/>
        <s v="PID0484"/>
        <s v="PID0485"/>
        <s v="PID0486"/>
        <s v="PID0487"/>
        <s v="PID0488"/>
        <s v="PID0489"/>
        <s v="PID0490"/>
        <s v="PID0491"/>
        <s v="PID0492"/>
        <s v="PID0493"/>
        <s v="PID0494"/>
        <s v="PID0495"/>
        <s v="PID0496"/>
        <s v="PID0497"/>
        <s v="PID0498"/>
        <s v="PID0499"/>
        <s v="PID0500"/>
        <s v="PID0501"/>
        <s v="PID0502"/>
        <s v="PID0503"/>
        <s v="PID0504"/>
        <s v="PID0505"/>
        <s v="PID0506"/>
        <s v="PID0507"/>
        <s v="PID0508"/>
        <s v="PID0509"/>
        <s v="PID0510"/>
        <s v="PID0511"/>
        <s v="PID0512"/>
        <s v="PID0513"/>
        <s v="PID0514"/>
        <s v="PID0515"/>
        <s v="PID0516"/>
        <s v="PID0517"/>
        <s v="PID0518"/>
        <s v="PID0519"/>
        <s v="PID0520"/>
        <s v="PID0521"/>
        <s v="PID0522"/>
        <s v="PID0523"/>
        <s v="PID0524"/>
        <s v="PID0525"/>
        <s v="PID0526"/>
        <s v="PID0527"/>
        <s v="PID0528"/>
        <s v="PID0529"/>
        <s v="PID0530"/>
        <s v="PID0531"/>
        <s v="PID0532"/>
        <s v="PID0533"/>
        <s v="PID0534"/>
        <s v="PID0535"/>
        <s v="PID0536"/>
        <s v="PID0537"/>
        <s v="PID0538"/>
        <s v="PID0539"/>
        <s v="PID0540"/>
        <s v="PID0541"/>
        <s v="PID0542"/>
        <s v="PID0543"/>
        <s v="PID0544"/>
        <s v="PID0545"/>
        <s v="PID0546"/>
        <s v="PID0547"/>
        <s v="PID0548"/>
        <s v="PID0549"/>
        <s v="PID0550"/>
        <s v="PID0551"/>
        <s v="PID0552"/>
        <s v="PID0553"/>
        <s v="PID0554"/>
        <s v="PID0555"/>
        <s v="PID0556"/>
        <s v="PID0557"/>
        <s v="PID0558"/>
        <s v="PID0559"/>
        <s v="PID0560"/>
        <s v="PID0561"/>
        <s v="PID0562"/>
        <s v="PID0563"/>
        <s v="PID0564"/>
        <s v="PID0565"/>
        <s v="PID0566"/>
        <s v="PID0567"/>
        <s v="PID0568"/>
        <s v="PID0569"/>
        <s v="PID0570"/>
        <s v="PID0571"/>
        <s v="PID0572"/>
        <s v="PID0573"/>
        <s v="PID0574"/>
        <s v="PID0575"/>
        <s v="PID0576"/>
        <s v="PID0577"/>
        <s v="PID0578"/>
        <s v="PID0579"/>
        <s v="PID0580"/>
        <s v="PID0581"/>
        <s v="PID0582"/>
        <s v="PID0583"/>
        <s v="PID0584"/>
        <s v="PID0585"/>
        <s v="PID0586"/>
        <s v="PID0587"/>
        <s v="PID0588"/>
        <s v="PID0589"/>
        <s v="PID0590"/>
        <s v="PID0591"/>
        <s v="PID0592"/>
        <s v="PID0593"/>
        <s v="PID0594"/>
        <s v="PID0595"/>
        <s v="PID0596"/>
        <s v="PID0597"/>
        <s v="PID0598"/>
        <s v="PID0599"/>
        <s v="PID0600"/>
        <s v="PID0601"/>
        <s v="PID0602"/>
        <s v="PID0603"/>
        <s v="PID0604"/>
        <s v="PID0605"/>
        <s v="PID0606"/>
        <s v="PID0607"/>
        <s v="PID0608"/>
        <s v="PID0609"/>
        <s v="PID0610"/>
        <s v="PID0611"/>
        <s v="PID0612"/>
        <s v="PID0613"/>
        <s v="PID0614"/>
        <s v="PID0615"/>
        <s v="PID0616"/>
        <s v="PID0617"/>
        <s v="PID0618"/>
        <s v="PID0619"/>
        <s v="PID0620"/>
        <s v="PID0621"/>
        <s v="PID0622"/>
        <s v="PID0623"/>
        <s v="PID0624"/>
        <s v="PID0625"/>
        <s v="PID0626"/>
        <s v="PID0627"/>
        <s v="PID0628"/>
        <s v="PID0629"/>
        <s v="PID0630"/>
        <s v="PID0631"/>
        <s v="PID0632"/>
        <s v="PID0633"/>
        <s v="PID0634"/>
        <s v="PID0635"/>
        <s v="PID0636"/>
        <s v="PID0637"/>
        <s v="PID0638"/>
        <s v="PID0639"/>
        <s v="PID0640"/>
        <s v="PID0641"/>
        <s v="PID0642"/>
        <s v="PID0643"/>
        <s v="PID0644"/>
        <s v="PID0645"/>
        <s v="PID0646"/>
        <s v="PID0647"/>
        <s v="PID0648"/>
        <s v="PID0649"/>
        <s v="PID0650"/>
        <s v="PID0651"/>
        <s v="PID0652"/>
        <s v="PID0653"/>
        <s v="PID0654"/>
        <s v="PID0655"/>
        <s v="PID0656"/>
        <s v="PID0657"/>
        <s v="PID0658"/>
        <s v="PID0659"/>
        <s v="PID0660"/>
        <s v="PID0661"/>
        <s v="PID0662"/>
        <s v="PID0663"/>
        <s v="PID0664"/>
        <s v="PID0665"/>
        <s v="PID0666"/>
        <s v="PID0667"/>
        <s v="PID0668"/>
        <s v="PID0669"/>
        <s v="PID0670"/>
        <s v="PID0671"/>
        <s v="PID0672"/>
        <s v="PID0673"/>
        <s v="PID0674"/>
        <s v="PID0675"/>
        <s v="PID0676"/>
        <s v="PID0677"/>
        <s v="PID0678"/>
        <s v="PID0679"/>
        <s v="PID0680"/>
        <s v="PID0681"/>
        <s v="PID0682"/>
        <s v="PID0683"/>
        <s v="PID0684"/>
        <s v="PID0685"/>
        <s v="PID0686"/>
        <s v="PID0687"/>
        <s v="PID0688"/>
        <s v="PID0689"/>
        <s v="PID0690"/>
        <s v="PID0691"/>
        <s v="PID0692"/>
        <s v="PID0693"/>
        <s v="PID0694"/>
        <s v="PID0695"/>
        <s v="PID0696"/>
        <s v="PID0697"/>
        <s v="PID0698"/>
        <s v="PID0699"/>
        <s v="PID0700"/>
        <s v="PID0701"/>
        <s v="PID0702"/>
        <s v="PID0703"/>
        <s v="PID0704"/>
        <s v="PID0705"/>
        <s v="PID0706"/>
        <s v="PID0707"/>
        <s v="PID0708"/>
        <s v="PID0709"/>
        <s v="PID0710"/>
        <s v="PID0711"/>
        <s v="PID0712"/>
        <s v="PID0713"/>
        <s v="PID0714"/>
        <s v="PID0715"/>
        <s v="PID0716"/>
        <s v="PID0717"/>
        <s v="PID0718"/>
        <s v="PID0719"/>
        <s v="PID0720"/>
        <s v="PID0721"/>
        <s v="PID0722"/>
        <s v="PID0723"/>
        <s v="PID0724"/>
        <s v="PID0725"/>
        <s v="PID0726"/>
        <s v="PID0727"/>
        <s v="PID0728"/>
        <s v="PID0729"/>
        <s v="PID0730"/>
        <s v="PID0731"/>
        <s v="PID0732"/>
        <s v="PID0733"/>
        <s v="PID0734"/>
        <s v="PID0735"/>
        <s v="PID0736"/>
        <s v="PID0737"/>
        <s v="PID0738"/>
        <s v="PID0739"/>
        <s v="PID0740"/>
        <s v="PID0741"/>
        <s v="PID0742"/>
        <s v="PID0743"/>
        <s v="PID0744"/>
        <s v="PID0745"/>
        <s v="PID0746"/>
        <s v="PID0747"/>
        <s v="PID0748"/>
        <s v="PID0749"/>
        <s v="PID0750"/>
        <s v="PID0751"/>
        <s v="PID0752"/>
        <s v="PID0753"/>
        <s v="PID0754"/>
        <s v="PID0755"/>
        <s v="PID0756"/>
        <s v="PID0757"/>
        <s v="PID0758"/>
        <s v="PID0759"/>
        <s v="PID0760"/>
        <s v="PID0761"/>
        <s v="PID0762"/>
        <s v="PID0763"/>
        <s v="PID0764"/>
        <s v="PID0765"/>
        <s v="PID0766"/>
        <s v="PID0767"/>
        <s v="PID0768"/>
        <s v="PID0769"/>
        <s v="PID0770"/>
        <s v="PID0771"/>
        <s v="PID0772"/>
        <s v="PID0773"/>
        <s v="PID0774"/>
        <s v="PID0775"/>
        <s v="PID0776"/>
        <s v="PID0777"/>
        <s v="PID0778"/>
        <s v="PID0779"/>
        <s v="PID0780"/>
        <s v="PID0781"/>
        <s v="PID0782"/>
        <s v="PID0783"/>
        <s v="PID0784"/>
        <s v="PID0785"/>
        <s v="PID0786"/>
        <s v="PID0787"/>
        <s v="PID0788"/>
        <s v="PID0789"/>
        <s v="PID0790"/>
        <s v="PID0791"/>
        <s v="PID0792"/>
        <s v="PID0793"/>
        <s v="PID0794"/>
        <s v="PID0795"/>
        <s v="PID0796"/>
        <s v="PID0797"/>
        <s v="PID0798"/>
        <s v="PID0799"/>
        <s v="PID0800"/>
        <s v="PID0801"/>
        <s v="PID0802"/>
        <s v="PID0803"/>
        <s v="PID0804"/>
        <s v="PID0805"/>
        <s v="PID0806"/>
        <s v="PID0807"/>
        <s v="PID0808"/>
        <s v="PID0809"/>
        <s v="PID0810"/>
        <s v="PID0811"/>
        <s v="PID0812"/>
        <s v="PID0813"/>
        <s v="PID0814"/>
        <s v="PID0815"/>
        <s v="PID0816"/>
        <s v="PID0817"/>
        <s v="PID0818"/>
        <s v="PID0819"/>
        <s v="PID0820"/>
        <s v="PID0821"/>
        <s v="PID0822"/>
        <s v="PID0823"/>
        <s v="PID0824"/>
        <s v="PID0825"/>
        <s v="PID0826"/>
        <s v="PID0827"/>
        <s v="PID0828"/>
        <s v="PID0829"/>
        <s v="PID0830"/>
        <s v="PID0831"/>
        <s v="PID0832"/>
        <s v="PID0833"/>
        <s v="PID0834"/>
        <s v="PID0835"/>
        <s v="PID0836"/>
        <s v="PID0837"/>
        <s v="PID0838"/>
        <s v="PID0839"/>
        <s v="PID0840"/>
        <s v="PID0841"/>
        <s v="PID0842"/>
        <s v="PID0843"/>
        <s v="PID0844"/>
        <s v="PID0845"/>
        <s v="PID0846"/>
        <s v="PID0847"/>
        <s v="PID0848"/>
        <s v="PID0849"/>
        <s v="PID0850"/>
        <s v="PID0851"/>
        <s v="PID0852"/>
        <s v="PID0853"/>
        <s v="PID0854"/>
        <s v="PID0855"/>
        <s v="PID0856"/>
        <s v="PID0857"/>
        <s v="PID0858"/>
        <s v="PID0859"/>
        <s v="PID0860"/>
        <s v="PID0861"/>
        <s v="PID0862"/>
        <s v="PID0863"/>
        <s v="PID0864"/>
        <s v="PID0865"/>
        <s v="PID0866"/>
        <s v="PID0867"/>
        <s v="PID0868"/>
        <s v="PID0869"/>
        <s v="PID0870"/>
        <s v="PID0871"/>
        <s v="PID0872"/>
        <s v="PID0873"/>
        <s v="PID0874"/>
        <s v="PID0875"/>
        <s v="PID0876"/>
        <s v="PID0877"/>
        <s v="PID0878"/>
        <s v="PID0879"/>
        <s v="PID0880"/>
        <s v="PID0881"/>
        <s v="PID0882"/>
        <s v="PID0883"/>
        <s v="PID0884"/>
        <s v="PID0885"/>
        <s v="PID0886"/>
        <s v="PID0887"/>
        <s v="PID0888"/>
        <s v="PID0889"/>
        <s v="PID0890"/>
        <s v="PID0891"/>
        <s v="PID0892"/>
        <s v="PID0893"/>
        <s v="PID0894"/>
        <s v="PID0895"/>
        <s v="PID0896"/>
        <s v="PID0897"/>
        <s v="PID0898"/>
        <s v="PID0899"/>
        <s v="PID0900"/>
        <s v="PID0901"/>
        <s v="PID0902"/>
        <s v="PID0903"/>
        <s v="PID0904"/>
        <s v="PID0905"/>
        <s v="PID0906"/>
        <s v="PID0907"/>
        <s v="PID0908"/>
        <s v="PID0909"/>
        <s v="PID0910"/>
        <s v="PID0911"/>
        <s v="PID0912"/>
        <s v="PID0913"/>
        <s v="PID0914"/>
        <s v="PID0915"/>
        <s v="PID0916"/>
        <s v="PID0917"/>
        <s v="PID0918"/>
        <s v="PID0919"/>
        <s v="PID0920"/>
        <s v="PID0921"/>
        <s v="PID0922"/>
        <s v="PID0923"/>
        <s v="PID0924"/>
        <s v="PID0925"/>
        <s v="PID0926"/>
        <s v="PID0927"/>
        <s v="PID0928"/>
        <s v="PID0929"/>
        <s v="PID0930"/>
        <s v="PID0931"/>
        <s v="PID0932"/>
        <s v="PID0933"/>
        <s v="PID0934"/>
        <s v="PID0935"/>
        <s v="PID0936"/>
        <s v="PID0937"/>
        <s v="PID0938"/>
        <s v="PID0939"/>
        <s v="PID0940"/>
        <s v="PID0941"/>
        <s v="PID0942"/>
        <s v="PID0943"/>
        <s v="PID0944"/>
        <s v="PID0945"/>
        <s v="PID0946"/>
        <s v="PID0947"/>
        <s v="PID0948"/>
        <s v="PID0949"/>
        <s v="PID0950"/>
        <s v="PID0951"/>
        <s v="PID0952"/>
        <s v="PID0953"/>
        <s v="PID0954"/>
        <s v="PID0955"/>
        <s v="PID0956"/>
        <s v="PID0957"/>
        <s v="PID0958"/>
        <s v="PID0959"/>
        <s v="PID0960"/>
        <s v="PID0961"/>
        <s v="PID0962"/>
        <s v="PID0963"/>
        <s v="PID0964"/>
        <s v="PID0965"/>
        <s v="PID0966"/>
        <s v="PID0967"/>
        <s v="PID0968"/>
        <s v="PID0969"/>
        <s v="PID0970"/>
        <s v="PID0971"/>
        <s v="PID0972"/>
        <s v="PID0973"/>
        <s v="PID0974"/>
        <s v="PID0975"/>
        <s v="PID0976"/>
        <s v="PID0977"/>
        <s v="PID0978"/>
        <s v="PID0979"/>
        <s v="PID0980"/>
        <s v="PID0981"/>
        <s v="PID0982"/>
        <s v="PID0983"/>
        <s v="PID0984"/>
        <s v="PID0985"/>
        <s v="PID0986"/>
        <s v="PID0987"/>
        <s v="PID0988"/>
        <s v="PID0989"/>
        <s v="PID0990"/>
        <s v="PID0991"/>
        <s v="PID0992"/>
        <s v="PID0993"/>
        <s v="PID0994"/>
        <s v="PID0995"/>
        <s v="PID0996"/>
        <s v="PID0997"/>
        <s v="PID0998"/>
        <s v="PID0999"/>
        <s v="PID1000"/>
      </sharedItems>
    </cacheField>
    <cacheField name="Patient_Name" numFmtId="0">
      <sharedItems count="365">
        <s v="Vihaan Sharma"/>
        <s v="Aisha Singh"/>
        <s v="Vihaan Verma"/>
        <s v="Ananya Kumar"/>
        <s v="Reyansh Desai"/>
        <s v="Vivaan Reddy"/>
        <s v="Aisha Desai"/>
        <s v="Aditya Shah"/>
        <s v="Ishaan Bhatt"/>
        <s v="Rohan Yadav"/>
        <s v="Reyansh Kapoor"/>
        <s v="Vivaan Yadav"/>
        <s v="Sneha Singh"/>
        <s v="Reyansh Mishra"/>
        <s v="Krishna Joshi"/>
        <s v="Aisha Trivedi"/>
        <s v="Sai Verma"/>
        <s v="Priya Yadav"/>
        <s v="Ananya Verma"/>
        <s v="Arjun Desai"/>
        <s v="Ishaan Patel"/>
        <s v="Sneha Soni"/>
        <s v="Neha Yadav"/>
        <s v="Diya Shah"/>
        <s v="Vihaan Shah"/>
        <s v="Priya Gupta"/>
        <s v="Aarav Kapoor"/>
        <s v="Riya Reddy"/>
        <s v="Kavya Trivedi"/>
        <s v="Pooja Bhatt"/>
        <s v="Krishna Desai"/>
        <s v="Sneha Chauhan"/>
        <s v="Kavya Chauhan"/>
        <s v="Aarav Shah"/>
        <s v="Kavya Desai"/>
        <s v="Aarav Soni"/>
        <s v="Sai Trivedi"/>
        <s v="Krishna Trivedi"/>
        <s v="Priya Nair"/>
        <s v="Meera Bhatt"/>
        <s v="Arjun Trivedi"/>
        <s v="Meera Patel"/>
        <s v="Meera Chauhan"/>
        <s v="Riya Trivedi"/>
        <s v="Vivaan Chauhan"/>
        <s v="Sneha Trivedi"/>
        <s v="Aditya Reddy"/>
        <s v="Pooja Patel"/>
        <s v="Krishna Gupta"/>
        <s v="Riya Bhatt"/>
        <s v="Ananya Reddy"/>
        <s v="Kavya Mehta"/>
        <s v="Ishaan Reddy"/>
        <s v="Sneha Gupta"/>
        <s v="Meera Joshi"/>
        <s v="Pooja Kapoor"/>
        <s v="Kavya Kumar"/>
        <s v="Ananya Yadav"/>
        <s v="Sneha Joshi"/>
        <s v="Kavya Mishra"/>
        <s v="Neha Sharma"/>
        <s v="Aisha Mehta"/>
        <s v="Krishna Nair"/>
        <s v="Meera Singh"/>
        <s v="Aarav Mehta"/>
        <s v="Ananya Bhatt"/>
        <s v="Neha Pandya"/>
        <s v="Ananya Mehta"/>
        <s v="Ananya Chauhan"/>
        <s v="Meera Yadav"/>
        <s v="Aditya Mehta"/>
        <s v="Riya Patel"/>
        <s v="Meera Trivedi"/>
        <s v="Kavya Bhatt"/>
        <s v="Arjun Yadav"/>
        <s v="Vivaan Patel"/>
        <s v="Pooja Gupta"/>
        <s v="Priya Soni"/>
        <s v="Sai Singh"/>
        <s v="Rohan Trivedi"/>
        <s v="Ananya Mishra"/>
        <s v="Vivaan Shah"/>
        <s v="Krishna Kumar"/>
        <s v="Ananya Desai"/>
        <s v="Pooja Trivedi"/>
        <s v="Vivaan Singh"/>
        <s v="Riya Pandya"/>
        <s v="Meera Mehta"/>
        <s v="Pooja Singh"/>
        <s v="Aditya Mishra"/>
        <s v="Meera Nair"/>
        <s v="Aditya Pandya"/>
        <s v="Sai Soni"/>
        <s v="Rohan Kapoor"/>
        <s v="Priya Reddy"/>
        <s v="Kavya Soni"/>
        <s v="Ishaan Nair"/>
        <s v="Vihaan Mehta"/>
        <s v="Priya Trivedi"/>
        <s v="Neha Joshi"/>
        <s v="Ishaan Soni"/>
        <s v="Ishaan Kapoor"/>
        <s v="Vivaan Joshi"/>
        <s v="Aisha Bhatt"/>
        <s v="Reyansh Joshi"/>
        <s v="Pooja Desai"/>
        <s v="Rohan Nair"/>
        <s v="Riya Verma"/>
        <s v="Reyansh Kumar"/>
        <s v="Ishaan Sharma"/>
        <s v="Sneha Nair"/>
        <s v="Aarav Sharma"/>
        <s v="Aarav Yadav"/>
        <s v="Arjun Pandya"/>
        <s v="Reyansh Patel"/>
        <s v="Krishna Soni"/>
        <s v="Neha Reddy"/>
        <s v="Aditya Patel"/>
        <s v="Aarav Mishra"/>
        <s v="Reyansh Soni"/>
        <s v="Vivaan Verma"/>
        <s v="Aditya Kapoor"/>
        <s v="Ishaan Gupta"/>
        <s v="Sneha Shah"/>
        <s v="Neha Verma"/>
        <s v="Kavya Nair"/>
        <s v="Aisha Soni"/>
        <s v="Ishaan Yadav"/>
        <s v="Sneha Verma"/>
        <s v="Priya Verma"/>
        <s v="Pooja Yadav"/>
        <s v="Ishaan Verma"/>
        <s v="Vihaan Nair"/>
        <s v="Riya Mehta"/>
        <s v="Pooja Soni"/>
        <s v="Meera Gupta"/>
        <s v="Priya Kapoor"/>
        <s v="Meera Sharma"/>
        <s v="Arjun Kumar"/>
        <s v="Rohan Joshi"/>
        <s v="Aditya Yadav"/>
        <s v="Pooja Nair"/>
        <s v="Vihaan Yadav"/>
        <s v="Aditya Sharma"/>
        <s v="Krishna Patel"/>
        <s v="Neha Nair"/>
        <s v="Aditya Trivedi"/>
        <s v="Aisha Pandya"/>
        <s v="Krishna Mehta"/>
        <s v="Vihaan Singh"/>
        <s v="Vihaan Mishra"/>
        <s v="Sai Desai"/>
        <s v="Diya Yadav"/>
        <s v="Riya Yadav"/>
        <s v="Arjun Reddy"/>
        <s v="Rohan Reddy"/>
        <s v="Rohan Mehta"/>
        <s v="Kavya Pandya"/>
        <s v="Vivaan Kapoor"/>
        <s v="Rohan Verma"/>
        <s v="Diya Kumar"/>
        <s v="Arjun Soni"/>
        <s v="Neha Gupta"/>
        <s v="Diya Nair"/>
        <s v="Neha Kumar"/>
        <s v="Ishaan Chauhan"/>
        <s v="Riya Kapoor"/>
        <s v="Riya Shah"/>
        <s v="Rohan Chauhan"/>
        <s v="Sai Reddy"/>
        <s v="Reyansh Sharma"/>
        <s v="Vihaan Kumar"/>
        <s v="Aditya Nair"/>
        <s v="Aditya Desai"/>
        <s v="Krishna Mishra"/>
        <s v="Aarav Gupta"/>
        <s v="Priya Mishra"/>
        <s v="Vihaan Patel"/>
        <s v="Sneha Patel"/>
        <s v="Sai Kumar"/>
        <s v="Arjun Mehta"/>
        <s v="Sai Kapoor"/>
        <s v="Rohan Patel"/>
        <s v="Ishaan Mehta"/>
        <s v="Priya Bhatt"/>
        <s v="Aisha Mishra"/>
        <s v="Aditya Verma"/>
        <s v="Aarav Trivedi"/>
        <s v="Meera Soni"/>
        <s v="Aditya Singh"/>
        <s v="Sneha Desai"/>
        <s v="Arjun Mishra"/>
        <s v="Arjun Nair"/>
        <s v="Diya Mehta"/>
        <s v="Aditya Bhatt"/>
        <s v="Neha Trivedi"/>
        <s v="Sai Bhatt"/>
        <s v="Aarav Kumar"/>
        <s v="Ishaan Shah"/>
        <s v="Sai Gupta"/>
        <s v="Aditya Soni"/>
        <s v="Aisha Verma"/>
        <s v="Pooja Pandya"/>
        <s v="Krishna Yadav"/>
        <s v="Ishaan Joshi"/>
        <s v="Ishaan Pandya"/>
        <s v="Arjun Bhatt"/>
        <s v="Vihaan Pandya"/>
        <s v="Diya Trivedi"/>
        <s v="Krishna Reddy"/>
        <s v="Arjun Verma"/>
        <s v="Krishna Verma"/>
        <s v="Kavya Shah"/>
        <s v="Aditya Joshi"/>
        <s v="Vihaan Kapoor"/>
        <s v="Krishna Shah"/>
        <s v="Ishaan Kumar"/>
        <s v="Priya Patel"/>
        <s v="Riya Kumar"/>
        <s v="Kavya Sharma"/>
        <s v="Riya Sharma"/>
        <s v="Diya Chauhan"/>
        <s v="Priya Kumar"/>
        <s v="Aarav Patel"/>
        <s v="Rohan Soni"/>
        <s v="Sai Shah"/>
        <s v="Vivaan Bhatt"/>
        <s v="Sai Pandya"/>
        <s v="Aisha Sharma"/>
        <s v="Sai Joshi"/>
        <s v="Neha Mehta"/>
        <s v="Priya Desai"/>
        <s v="Neha Patel"/>
        <s v="Reyansh Verma"/>
        <s v="Rohan Sharma"/>
        <s v="Priya Singh"/>
        <s v="Riya Desai"/>
        <s v="Ananya Soni"/>
        <s v="Aisha Joshi"/>
        <s v="Meera Shah"/>
        <s v="Arjun Kapoor"/>
        <s v="Riya Chauhan"/>
        <s v="Diya Desai"/>
        <s v="Diya Soni"/>
        <s v="Krishna Pandya"/>
        <s v="Aisha Yadav"/>
        <s v="Reyansh Bhatt"/>
        <s v="Aditya Kumar"/>
        <s v="Ananya Trivedi"/>
        <s v="Pooja Sharma"/>
        <s v="Meera Verma"/>
        <s v="Vihaan Soni"/>
        <s v="Reyansh Gupta"/>
        <s v="Neha Bhatt"/>
        <s v="Reyansh Nair"/>
        <s v="Aarav Pandya"/>
        <s v="Ananya Joshi"/>
        <s v="Sneha Kumar"/>
        <s v="Vivaan Mehta"/>
        <s v="Pooja Reddy"/>
        <s v="Diya Patel"/>
        <s v="Pooja Chauhan"/>
        <s v="Krishna Sharma"/>
        <s v="Diya Singh"/>
        <s v="Diya Kapoor"/>
        <s v="Arjun Sharma"/>
        <s v="Ananya Sharma"/>
        <s v="Rohan Pandya"/>
        <s v="Kavya Gupta"/>
        <s v="Priya Mehta"/>
        <s v="Rohan Shah"/>
        <s v="Priya Joshi"/>
        <s v="Riya Gupta"/>
        <s v="Aisha Nair"/>
        <s v="Sneha Reddy"/>
        <s v="Priya Pandya"/>
        <s v="Pooja Verma"/>
        <s v="Sai Patel"/>
        <s v="Arjun Gupta"/>
        <s v="Sai Chauhan"/>
        <s v="Diya Verma"/>
        <s v="Kavya Patel"/>
        <s v="Vihaan Chauhan"/>
        <s v="Kavya Kapoor"/>
        <s v="Aisha Kapoor"/>
        <s v="Sneha Pandya"/>
        <s v="Sai Mishra"/>
        <s v="Rohan Kumar"/>
        <s v="Rohan Mishra"/>
        <s v="Reyansh Yadav"/>
        <s v="Vihaan Gupta"/>
        <s v="Sai Sharma"/>
        <s v="Ananya Kapoor"/>
        <s v="Aisha Patel"/>
        <s v="Priya Shah"/>
        <s v="Ananya Patel"/>
        <s v="Vivaan Desai"/>
        <s v="Kavya Singh"/>
        <s v="Rohan Desai"/>
        <s v="Reyansh Trivedi"/>
        <s v="Diya Sharma"/>
        <s v="Diya Reddy"/>
        <s v="Kavya Joshi"/>
        <s v="Reyansh Mehta"/>
        <s v="Aditya Gupta"/>
        <s v="Sneha Kapoor"/>
        <s v="Priya Sharma"/>
        <s v="Arjun Shah"/>
        <s v="Vihaan Trivedi"/>
        <s v="Ishaan Singh"/>
        <s v="Vihaan Joshi"/>
        <s v="Sai Nair"/>
        <s v="Aisha Gupta"/>
        <s v="Vihaan Bhatt"/>
        <s v="Sneha Yadav"/>
        <s v="Arjun Patel"/>
        <s v="Aarav Joshi"/>
        <s v="Ishaan Trivedi"/>
        <s v="Riya Singh"/>
        <s v="Sneha Bhatt"/>
        <s v="Krishna Bhatt"/>
        <s v="Sneha Sharma"/>
        <s v="Kavya Reddy"/>
        <s v="Riya Mishra"/>
        <s v="Aarav Chauhan"/>
        <s v="Neha Soni"/>
        <s v="Meera Reddy"/>
        <s v="Diya Bhatt"/>
        <s v="Rohan Gupta"/>
        <s v="Vivaan Sharma"/>
        <s v="Riya Nair"/>
        <s v="Diya Gupta"/>
        <s v="Ishaan Desai"/>
        <s v="Kavya Verma"/>
        <s v="Ishaan Mishra"/>
        <s v="Arjun Joshi"/>
        <s v="Diya Joshi"/>
        <s v="Neha Shah"/>
        <s v="Rohan Bhatt"/>
        <s v="Sai Mehta"/>
        <s v="Ananya Nair"/>
        <s v="Diya Mishra"/>
        <s v="Krishna Singh"/>
        <s v="Pooja Kumar"/>
        <s v="Aisha Reddy"/>
        <s v="Aarav Reddy"/>
        <s v="Priya Chauhan"/>
        <s v="Ananya Singh"/>
        <s v="Neha Mishra"/>
        <s v="Meera Mishra"/>
        <s v="Vivaan Gupta"/>
        <s v="Ananya Pandya"/>
        <s v="Vivaan Pandya"/>
        <s v="Aarav Bhatt"/>
        <s v="Sai Yadav"/>
        <s v="Aarav Singh"/>
        <s v="Kavya Yadav"/>
        <s v="Vivaan Mishra"/>
        <s v="Neha Desai"/>
        <s v="Vivaan Kumar"/>
        <s v="Aisha Kumar"/>
        <s v="Vihaan Desai"/>
        <s v="Krishna Chauhan"/>
        <s v="Pooja Mehta"/>
        <s v="Sneha Mehta"/>
      </sharedItems>
    </cacheField>
    <cacheField name="Age" numFmtId="0">
      <sharedItems containsSemiMixedTypes="0" containsString="0" containsNumber="1" containsInteger="1" minValue="1" maxValue="85"/>
    </cacheField>
    <cacheField name="Gender" numFmtId="0">
      <sharedItems count="2">
        <s v="Male"/>
        <s v="Female"/>
      </sharedItems>
    </cacheField>
    <cacheField name="Blood_Group" numFmtId="0">
      <sharedItems/>
    </cacheField>
    <cacheField name="Doctor_Name" numFmtId="0">
      <sharedItems count="8">
        <s v="Dr. Neha Joshi"/>
        <s v="Dr. Aditi Verma"/>
        <s v="Dr. Rajesh Mehta"/>
        <s v="Dr. Amit Patel"/>
        <s v="Dr. Priya Shah"/>
        <s v="Dr. Vivek Sharma"/>
        <s v="Dr. Karan Singh"/>
        <s v="Dr. Sneha Desai"/>
      </sharedItems>
    </cacheField>
    <cacheField name="Department" numFmtId="0">
      <sharedItems count="7">
        <s v="Neurology"/>
        <s v="Orthopedics"/>
        <s v="Dermatology"/>
        <s v="ENT"/>
        <s v="General Medicine"/>
        <s v="Cardiology"/>
        <s v="Pediatrics"/>
      </sharedItems>
    </cacheField>
    <cacheField name="Disease" numFmtId="0">
      <sharedItems count="16">
        <s v="Migraine"/>
        <s v="Pneumonia"/>
        <s v="Kidney Stone"/>
        <s v="Dengue"/>
        <s v="Typhoid"/>
        <s v="Fever"/>
        <s v="Hypertension"/>
        <s v="COVID-19"/>
        <s v="Heart Disease"/>
        <s v="Flu"/>
        <s v="Arthritis"/>
        <s v="Asthma"/>
        <s v="Diabetes"/>
        <s v="Skin Allergy"/>
        <s v="Fracture"/>
        <s v="Back Pain"/>
      </sharedItems>
    </cacheField>
    <cacheField name="Consultation_Fee" numFmtId="0">
      <sharedItems containsSemiMixedTypes="0" containsString="0" containsNumber="1" containsInteger="1" minValue="300" maxValue="1498"/>
    </cacheField>
    <cacheField name="Medicine_Fee" numFmtId="0">
      <sharedItems containsSemiMixedTypes="0" containsString="0" containsNumber="1" containsInteger="1" minValue="507" maxValue="4990"/>
    </cacheField>
    <cacheField name="Test_Fee" numFmtId="0">
      <sharedItems containsSemiMixedTypes="0" containsString="0" containsNumber="1" containsInteger="1" minValue="304" maxValue="7977"/>
    </cacheField>
    <cacheField name="Room_Charges" numFmtId="0">
      <sharedItems containsSemiMixedTypes="0" containsString="0" containsNumber="1" containsInteger="1" minValue="1040" maxValue="14980"/>
    </cacheField>
    <cacheField name="Total_Fees" numFmtId="0">
      <sharedItems containsSemiMixedTypes="0" containsString="0" containsNumber="1" containsInteger="1" minValue="4671" maxValue="26854"/>
    </cacheField>
    <cacheField name="Admission_Date" numFmtId="14">
      <sharedItems containsSemiMixedTypes="0" containsNonDate="0" containsDate="1" containsString="0" minDate="2025-01-01T00:00:00" maxDate="2026-01-01T00:00:00" count="340">
        <d v="2025-08-05T00:00:00"/>
        <d v="2025-03-23T00:00:00"/>
        <d v="2025-10-02T00:00:00"/>
        <d v="2025-02-21T00:00:00"/>
        <d v="2025-11-24T00:00:00"/>
        <d v="2025-09-13T00:00:00"/>
        <d v="2025-02-16T00:00:00"/>
        <d v="2025-11-25T00:00:00"/>
        <d v="2025-10-04T00:00:00"/>
        <d v="2025-03-06T00:00:00"/>
        <d v="2025-06-23T00:00:00"/>
        <d v="2025-09-06T00:00:00"/>
        <d v="2025-01-28T00:00:00"/>
        <d v="2025-08-15T00:00:00"/>
        <d v="2025-01-02T00:00:00"/>
        <d v="2025-06-10T00:00:00"/>
        <d v="2025-01-21T00:00:00"/>
        <d v="2025-02-07T00:00:00"/>
        <d v="2025-11-10T00:00:00"/>
        <d v="2025-04-15T00:00:00"/>
        <d v="2025-08-07T00:00:00"/>
        <d v="2025-06-20T00:00:00"/>
        <d v="2025-04-09T00:00:00"/>
        <d v="2025-01-20T00:00:00"/>
        <d v="2025-10-03T00:00:00"/>
        <d v="2025-04-20T00:00:00"/>
        <d v="2025-05-06T00:00:00"/>
        <d v="2025-12-23T00:00:00"/>
        <d v="2025-09-01T00:00:00"/>
        <d v="2025-02-11T00:00:00"/>
        <d v="2025-10-27T00:00:00"/>
        <d v="2025-07-19T00:00:00"/>
        <d v="2025-05-14T00:00:00"/>
        <d v="2025-04-25T00:00:00"/>
        <d v="2025-05-12T00:00:00"/>
        <d v="2025-06-04T00:00:00"/>
        <d v="2025-11-22T00:00:00"/>
        <d v="2025-05-05T00:00:00"/>
        <d v="2025-09-22T00:00:00"/>
        <d v="2025-12-21T00:00:00"/>
        <d v="2025-06-11T00:00:00"/>
        <d v="2025-01-27T00:00:00"/>
        <d v="2025-08-02T00:00:00"/>
        <d v="2025-03-22T00:00:00"/>
        <d v="2025-04-30T00:00:00"/>
        <d v="2025-08-28T00:00:00"/>
        <d v="2025-05-18T00:00:00"/>
        <d v="2025-03-24T00:00:00"/>
        <d v="2025-08-25T00:00:00"/>
        <d v="2025-11-19T00:00:00"/>
        <d v="2025-08-01T00:00:00"/>
        <d v="2025-08-22T00:00:00"/>
        <d v="2025-09-07T00:00:00"/>
        <d v="2025-01-29T00:00:00"/>
        <d v="2025-03-15T00:00:00"/>
        <d v="2025-12-20T00:00:00"/>
        <d v="2025-12-18T00:00:00"/>
        <d v="2025-08-14T00:00:00"/>
        <d v="2025-09-04T00:00:00"/>
        <d v="2025-07-08T00:00:00"/>
        <d v="2025-03-01T00:00:00"/>
        <d v="2025-09-08T00:00:00"/>
        <d v="2025-08-21T00:00:00"/>
        <d v="2025-11-26T00:00:00"/>
        <d v="2025-11-21T00:00:00"/>
        <d v="2025-07-10T00:00:00"/>
        <d v="2025-12-03T00:00:00"/>
        <d v="2025-06-08T00:00:00"/>
        <d v="2025-04-21T00:00:00"/>
        <d v="2025-01-22T00:00:00"/>
        <d v="2025-08-24T00:00:00"/>
        <d v="2025-02-09T00:00:00"/>
        <d v="2025-12-02T00:00:00"/>
        <d v="2025-06-05T00:00:00"/>
        <d v="2025-10-11T00:00:00"/>
        <d v="2025-09-25T00:00:00"/>
        <d v="2025-12-17T00:00:00"/>
        <d v="2025-05-02T00:00:00"/>
        <d v="2025-08-03T00:00:00"/>
        <d v="2025-03-17T00:00:00"/>
        <d v="2025-06-13T00:00:00"/>
        <d v="2025-10-08T00:00:00"/>
        <d v="2025-09-21T00:00:00"/>
        <d v="2025-09-17T00:00:00"/>
        <d v="2025-01-23T00:00:00"/>
        <d v="2025-08-12T00:00:00"/>
        <d v="2025-06-14T00:00:00"/>
        <d v="2025-01-30T00:00:00"/>
        <d v="2025-01-17T00:00:00"/>
        <d v="2025-04-06T00:00:00"/>
        <d v="2025-08-20T00:00:00"/>
        <d v="2025-03-04T00:00:00"/>
        <d v="2025-09-03T00:00:00"/>
        <d v="2025-03-05T00:00:00"/>
        <d v="2025-10-23T00:00:00"/>
        <d v="2025-08-27T00:00:00"/>
        <d v="2025-11-02T00:00:00"/>
        <d v="2025-05-28T00:00:00"/>
        <d v="2025-04-12T00:00:00"/>
        <d v="2025-11-12T00:00:00"/>
        <d v="2025-12-19T00:00:00"/>
        <d v="2025-03-30T00:00:00"/>
        <d v="2025-02-10T00:00:00"/>
        <d v="2025-09-29T00:00:00"/>
        <d v="2025-05-29T00:00:00"/>
        <d v="2025-08-23T00:00:00"/>
        <d v="2025-04-05T00:00:00"/>
        <d v="2025-03-02T00:00:00"/>
        <d v="2025-11-07T00:00:00"/>
        <d v="2025-02-05T00:00:00"/>
        <d v="2025-06-28T00:00:00"/>
        <d v="2025-03-21T00:00:00"/>
        <d v="2025-04-24T00:00:00"/>
        <d v="2025-07-12T00:00:00"/>
        <d v="2025-06-19T00:00:00"/>
        <d v="2025-11-29T00:00:00"/>
        <d v="2025-01-09T00:00:00"/>
        <d v="2025-06-30T00:00:00"/>
        <d v="2025-09-16T00:00:00"/>
        <d v="2025-02-12T00:00:00"/>
        <d v="2025-07-02T00:00:00"/>
        <d v="2025-06-12T00:00:00"/>
        <d v="2025-01-14T00:00:00"/>
        <d v="2025-05-30T00:00:00"/>
        <d v="2025-10-26T00:00:00"/>
        <d v="2025-10-29T00:00:00"/>
        <d v="2025-09-24T00:00:00"/>
        <d v="2025-03-26T00:00:00"/>
        <d v="2025-05-15T00:00:00"/>
        <d v="2025-05-03T00:00:00"/>
        <d v="2025-10-15T00:00:00"/>
        <d v="2025-12-01T00:00:00"/>
        <d v="2025-04-16T00:00:00"/>
        <d v="2025-02-17T00:00:00"/>
        <d v="2025-04-19T00:00:00"/>
        <d v="2025-01-05T00:00:00"/>
        <d v="2025-03-12T00:00:00"/>
        <d v="2025-03-13T00:00:00"/>
        <d v="2025-10-19T00:00:00"/>
        <d v="2025-12-31T00:00:00"/>
        <d v="2025-01-16T00:00:00"/>
        <d v="2025-05-11T00:00:00"/>
        <d v="2025-01-24T00:00:00"/>
        <d v="2025-12-22T00:00:00"/>
        <d v="2025-03-08T00:00:00"/>
        <d v="2025-10-12T00:00:00"/>
        <d v="2025-02-08T00:00:00"/>
        <d v="2025-07-22T00:00:00"/>
        <d v="2025-10-09T00:00:00"/>
        <d v="2025-06-26T00:00:00"/>
        <d v="2025-12-24T00:00:00"/>
        <d v="2025-11-05T00:00:00"/>
        <d v="2025-09-27T00:00:00"/>
        <d v="2025-05-08T00:00:00"/>
        <d v="2025-05-31T00:00:00"/>
        <d v="2025-05-16T00:00:00"/>
        <d v="2025-03-19T00:00:00"/>
        <d v="2025-05-22T00:00:00"/>
        <d v="2025-07-30T00:00:00"/>
        <d v="2025-11-06T00:00:00"/>
        <d v="2025-09-26T00:00:00"/>
        <d v="2025-07-17T00:00:00"/>
        <d v="2025-11-04T00:00:00"/>
        <d v="2025-07-27T00:00:00"/>
        <d v="2025-05-13T00:00:00"/>
        <d v="2025-03-28T00:00:00"/>
        <d v="2025-07-11T00:00:00"/>
        <d v="2025-03-09T00:00:00"/>
        <d v="2025-09-19T00:00:00"/>
        <d v="2025-09-12T00:00:00"/>
        <d v="2025-12-06T00:00:00"/>
        <d v="2025-12-25T00:00:00"/>
        <d v="2025-10-21T00:00:00"/>
        <d v="2025-04-07T00:00:00"/>
        <d v="2025-01-13T00:00:00"/>
        <d v="2025-05-09T00:00:00"/>
        <d v="2025-06-15T00:00:00"/>
        <d v="2025-11-11T00:00:00"/>
        <d v="2025-12-26T00:00:00"/>
        <d v="2025-07-28T00:00:00"/>
        <d v="2025-06-02T00:00:00"/>
        <d v="2025-09-20T00:00:00"/>
        <d v="2025-10-25T00:00:00"/>
        <d v="2025-07-06T00:00:00"/>
        <d v="2025-06-06T00:00:00"/>
        <d v="2025-07-23T00:00:00"/>
        <d v="2025-10-31T00:00:00"/>
        <d v="2025-02-24T00:00:00"/>
        <d v="2025-08-13T00:00:00"/>
        <d v="2025-07-24T00:00:00"/>
        <d v="2025-10-22T00:00:00"/>
        <d v="2025-04-23T00:00:00"/>
        <d v="2025-07-01T00:00:00"/>
        <d v="2025-05-24T00:00:00"/>
        <d v="2025-07-15T00:00:00"/>
        <d v="2025-10-28T00:00:00"/>
        <d v="2025-01-01T00:00:00"/>
        <d v="2025-09-09T00:00:00"/>
        <d v="2025-09-10T00:00:00"/>
        <d v="2025-04-03T00:00:00"/>
        <d v="2025-04-17T00:00:00"/>
        <d v="2025-12-08T00:00:00"/>
        <d v="2025-10-13T00:00:00"/>
        <d v="2025-10-05T00:00:00"/>
        <d v="2025-12-16T00:00:00"/>
        <d v="2025-02-19T00:00:00"/>
        <d v="2025-03-27T00:00:00"/>
        <d v="2025-10-17T00:00:00"/>
        <d v="2025-06-22T00:00:00"/>
        <d v="2025-04-11T00:00:00"/>
        <d v="2025-02-13T00:00:00"/>
        <d v="2025-10-07T00:00:00"/>
        <d v="2025-02-20T00:00:00"/>
        <d v="2025-02-14T00:00:00"/>
        <d v="2025-04-14T00:00:00"/>
        <d v="2025-07-31T00:00:00"/>
        <d v="2025-07-03T00:00:00"/>
        <d v="2025-01-08T00:00:00"/>
        <d v="2025-11-08T00:00:00"/>
        <d v="2025-11-23T00:00:00"/>
        <d v="2025-11-17T00:00:00"/>
        <d v="2025-11-01T00:00:00"/>
        <d v="2025-09-30T00:00:00"/>
        <d v="2025-12-27T00:00:00"/>
        <d v="2025-02-03T00:00:00"/>
        <d v="2025-02-06T00:00:00"/>
        <d v="2025-10-18T00:00:00"/>
        <d v="2025-04-26T00:00:00"/>
        <d v="2025-02-27T00:00:00"/>
        <d v="2025-06-25T00:00:00"/>
        <d v="2025-08-31T00:00:00"/>
        <d v="2025-05-21T00:00:00"/>
        <d v="2025-01-07T00:00:00"/>
        <d v="2025-02-01T00:00:00"/>
        <d v="2025-08-09T00:00:00"/>
        <d v="2025-12-07T00:00:00"/>
        <d v="2025-12-14T00:00:00"/>
        <d v="2025-02-15T00:00:00"/>
        <d v="2025-04-10T00:00:00"/>
        <d v="2025-12-13T00:00:00"/>
        <d v="2025-03-16T00:00:00"/>
        <d v="2025-02-26T00:00:00"/>
        <d v="2025-10-30T00:00:00"/>
        <d v="2025-09-14T00:00:00"/>
        <d v="2025-01-11T00:00:00"/>
        <d v="2025-03-31T00:00:00"/>
        <d v="2025-07-25T00:00:00"/>
        <d v="2025-08-17T00:00:00"/>
        <d v="2025-05-26T00:00:00"/>
        <d v="2025-11-03T00:00:00"/>
        <d v="2025-12-30T00:00:00"/>
        <d v="2025-03-20T00:00:00"/>
        <d v="2025-09-15T00:00:00"/>
        <d v="2025-09-11T00:00:00"/>
        <d v="2025-02-22T00:00:00"/>
        <d v="2025-07-20T00:00:00"/>
        <d v="2025-06-24T00:00:00"/>
        <d v="2025-04-18T00:00:00"/>
        <d v="2025-11-18T00:00:00"/>
        <d v="2025-04-01T00:00:00"/>
        <d v="2025-11-20T00:00:00"/>
        <d v="2025-01-15T00:00:00"/>
        <d v="2025-12-29T00:00:00"/>
        <d v="2025-08-10T00:00:00"/>
        <d v="2025-05-20T00:00:00"/>
        <d v="2025-12-15T00:00:00"/>
        <d v="2025-11-15T00:00:00"/>
        <d v="2025-09-02T00:00:00"/>
        <d v="2025-05-04T00:00:00"/>
        <d v="2025-05-01T00:00:00"/>
        <d v="2025-07-04T00:00:00"/>
        <d v="2025-07-26T00:00:00"/>
        <d v="2025-05-23T00:00:00"/>
        <d v="2025-03-03T00:00:00"/>
        <d v="2025-12-10T00:00:00"/>
        <d v="2025-04-27T00:00:00"/>
        <d v="2025-07-18T00:00:00"/>
        <d v="2025-03-10T00:00:00"/>
        <d v="2025-08-08T00:00:00"/>
        <d v="2025-08-06T00:00:00"/>
        <d v="2025-01-04T00:00:00"/>
        <d v="2025-02-18T00:00:00"/>
        <d v="2025-01-06T00:00:00"/>
        <d v="2025-03-29T00:00:00"/>
        <d v="2025-01-18T00:00:00"/>
        <d v="2025-02-25T00:00:00"/>
        <d v="2025-06-01T00:00:00"/>
        <d v="2025-04-04T00:00:00"/>
        <d v="2025-07-13T00:00:00"/>
        <d v="2025-12-04T00:00:00"/>
        <d v="2025-07-21T00:00:00"/>
        <d v="2025-06-03T00:00:00"/>
        <d v="2025-05-25T00:00:00"/>
        <d v="2025-06-29T00:00:00"/>
        <d v="2025-08-11T00:00:00"/>
        <d v="2025-02-28T00:00:00"/>
        <d v="2025-07-05T00:00:00"/>
        <d v="2025-08-18T00:00:00"/>
        <d v="2025-04-08T00:00:00"/>
        <d v="2025-10-16T00:00:00"/>
        <d v="2025-08-04T00:00:00"/>
        <d v="2025-08-26T00:00:00"/>
        <d v="2025-02-23T00:00:00"/>
        <d v="2025-08-29T00:00:00"/>
        <d v="2025-01-12T00:00:00"/>
        <d v="2025-09-23T00:00:00"/>
        <d v="2025-01-19T00:00:00"/>
        <d v="2025-01-25T00:00:00"/>
        <d v="2025-09-05T00:00:00"/>
        <d v="2025-05-10T00:00:00"/>
        <d v="2025-12-12T00:00:00"/>
        <d v="2025-05-07T00:00:00"/>
        <d v="2025-12-28T00:00:00"/>
        <d v="2025-11-27T00:00:00"/>
        <d v="2025-11-09T00:00:00"/>
        <d v="2025-07-07T00:00:00"/>
        <d v="2025-05-19T00:00:00"/>
        <d v="2025-07-14T00:00:00"/>
        <d v="2025-10-24T00:00:00"/>
        <d v="2025-09-18T00:00:00"/>
        <d v="2025-10-06T00:00:00"/>
        <d v="2025-06-27T00:00:00"/>
        <d v="2025-02-04T00:00:00"/>
        <d v="2025-10-14T00:00:00"/>
        <d v="2025-11-28T00:00:00"/>
        <d v="2025-03-25T00:00:00"/>
        <d v="2025-08-19T00:00:00"/>
        <d v="2025-01-10T00:00:00"/>
        <d v="2025-04-13T00:00:00"/>
        <d v="2025-04-28T00:00:00"/>
        <d v="2025-04-02T00:00:00"/>
        <d v="2025-06-09T00:00:00"/>
        <d v="2025-08-16T00:00:00"/>
        <d v="2025-11-13T00:00:00"/>
        <d v="2025-05-17T00:00:00"/>
        <d v="2025-11-14T00:00:00"/>
        <d v="2025-07-29T00:00:00"/>
        <d v="2025-12-09T00:00:00"/>
        <d v="2025-10-01T00:00:00"/>
        <d v="2025-06-16T00:00:00"/>
      </sharedItems>
    </cacheField>
    <cacheField name="Discharge_Date" numFmtId="14">
      <sharedItems containsSemiMixedTypes="0" containsNonDate="0" containsDate="1" containsString="0" minDate="2025-01-01T00:00:00" maxDate="2026-01-01T00:00:00" count="339">
        <d v="2025-01-17T00:00:00"/>
        <d v="2025-12-24T00:00:00"/>
        <d v="2025-03-05T00:00:00"/>
        <d v="2025-07-14T00:00:00"/>
        <d v="2025-12-19T00:00:00"/>
        <d v="2025-07-22T00:00:00"/>
        <d v="2025-01-25T00:00:00"/>
        <d v="2025-06-24T00:00:00"/>
        <d v="2025-09-29T00:00:00"/>
        <d v="2025-03-07T00:00:00"/>
        <d v="2025-01-11T00:00:00"/>
        <d v="2025-04-20T00:00:00"/>
        <d v="2025-12-11T00:00:00"/>
        <d v="2025-10-09T00:00:00"/>
        <d v="2025-07-19T00:00:00"/>
        <d v="2025-01-30T00:00:00"/>
        <d v="2025-11-14T00:00:00"/>
        <d v="2025-01-05T00:00:00"/>
        <d v="2025-12-01T00:00:00"/>
        <d v="2025-12-18T00:00:00"/>
        <d v="2025-10-15T00:00:00"/>
        <d v="2025-07-03T00:00:00"/>
        <d v="2025-07-30T00:00:00"/>
        <d v="2025-07-24T00:00:00"/>
        <d v="2025-02-25T00:00:00"/>
        <d v="2025-08-04T00:00:00"/>
        <d v="2025-09-19T00:00:00"/>
        <d v="2025-09-01T00:00:00"/>
        <d v="2025-09-23T00:00:00"/>
        <d v="2025-08-19T00:00:00"/>
        <d v="2025-03-12T00:00:00"/>
        <d v="2025-12-23T00:00:00"/>
        <d v="2025-06-22T00:00:00"/>
        <d v="2025-11-29T00:00:00"/>
        <d v="2025-07-08T00:00:00"/>
        <d v="2025-12-17T00:00:00"/>
        <d v="2025-08-24T00:00:00"/>
        <d v="2025-08-26T00:00:00"/>
        <d v="2025-04-08T00:00:00"/>
        <d v="2025-05-05T00:00:00"/>
        <d v="2025-03-03T00:00:00"/>
        <d v="2025-01-08T00:00:00"/>
        <d v="2025-05-10T00:00:00"/>
        <d v="2025-11-07T00:00:00"/>
        <d v="2025-05-03T00:00:00"/>
        <d v="2025-05-16T00:00:00"/>
        <d v="2025-10-23T00:00:00"/>
        <d v="2025-06-18T00:00:00"/>
        <d v="2025-07-31T00:00:00"/>
        <d v="2025-11-08T00:00:00"/>
        <d v="2025-09-05T00:00:00"/>
        <d v="2025-05-25T00:00:00"/>
        <d v="2025-10-05T00:00:00"/>
        <d v="2025-05-31T00:00:00"/>
        <d v="2025-04-29T00:00:00"/>
        <d v="2025-05-09T00:00:00"/>
        <d v="2025-01-26T00:00:00"/>
        <d v="2025-01-18T00:00:00"/>
        <d v="2025-06-01T00:00:00"/>
        <d v="2025-03-13T00:00:00"/>
        <d v="2025-11-12T00:00:00"/>
        <d v="2025-02-16T00:00:00"/>
        <d v="2025-05-22T00:00:00"/>
        <d v="2025-01-16T00:00:00"/>
        <d v="2025-10-27T00:00:00"/>
        <d v="2025-03-08T00:00:00"/>
        <d v="2025-09-04T00:00:00"/>
        <d v="2025-06-23T00:00:00"/>
        <d v="2025-07-09T00:00:00"/>
        <d v="2025-09-20T00:00:00"/>
        <d v="2025-04-19T00:00:00"/>
        <d v="2025-08-12T00:00:00"/>
        <d v="2025-12-20T00:00:00"/>
        <d v="2025-02-08T00:00:00"/>
        <d v="2025-05-21T00:00:00"/>
        <d v="2025-01-22T00:00:00"/>
        <d v="2025-11-09T00:00:00"/>
        <d v="2025-11-05T00:00:00"/>
        <d v="2025-09-27T00:00:00"/>
        <d v="2025-09-17T00:00:00"/>
        <d v="2025-08-16T00:00:00"/>
        <d v="2025-03-24T00:00:00"/>
        <d v="2025-02-20T00:00:00"/>
        <d v="2025-10-22T00:00:00"/>
        <d v="2025-10-11T00:00:00"/>
        <d v="2025-03-10T00:00:00"/>
        <d v="2025-04-13T00:00:00"/>
        <d v="2025-02-22T00:00:00"/>
        <d v="2025-11-06T00:00:00"/>
        <d v="2025-09-13T00:00:00"/>
        <d v="2025-03-30T00:00:00"/>
        <d v="2025-11-11T00:00:00"/>
        <d v="2025-08-14T00:00:00"/>
        <d v="2025-03-04T00:00:00"/>
        <d v="2025-02-07T00:00:00"/>
        <d v="2025-06-03T00:00:00"/>
        <d v="2025-11-19T00:00:00"/>
        <d v="2025-06-10T00:00:00"/>
        <d v="2025-12-27T00:00:00"/>
        <d v="2025-06-27T00:00:00"/>
        <d v="2025-04-26T00:00:00"/>
        <d v="2025-05-27T00:00:00"/>
        <d v="2025-01-20T00:00:00"/>
        <d v="2025-11-28T00:00:00"/>
        <d v="2025-08-27T00:00:00"/>
        <d v="2025-07-11T00:00:00"/>
        <d v="2025-09-16T00:00:00"/>
        <d v="2025-10-16T00:00:00"/>
        <d v="2025-08-30T00:00:00"/>
        <d v="2025-03-02T00:00:00"/>
        <d v="2025-07-25T00:00:00"/>
        <d v="2025-04-05T00:00:00"/>
        <d v="2025-06-05T00:00:00"/>
        <d v="2025-05-14T00:00:00"/>
        <d v="2025-03-28T00:00:00"/>
        <d v="2025-08-22T00:00:00"/>
        <d v="2025-09-15T00:00:00"/>
        <d v="2025-10-17T00:00:00"/>
        <d v="2025-04-02T00:00:00"/>
        <d v="2025-09-14T00:00:00"/>
        <d v="2025-07-04T00:00:00"/>
        <d v="2025-02-15T00:00:00"/>
        <d v="2025-09-10T00:00:00"/>
        <d v="2025-01-04T00:00:00"/>
        <d v="2025-05-30T00:00:00"/>
        <d v="2025-12-21T00:00:00"/>
        <d v="2025-12-10T00:00:00"/>
        <d v="2025-06-06T00:00:00"/>
        <d v="2025-10-12T00:00:00"/>
        <d v="2025-05-28T00:00:00"/>
        <d v="2025-05-07T00:00:00"/>
        <d v="2025-04-16T00:00:00"/>
        <d v="2025-12-26T00:00:00"/>
        <d v="2025-07-26T00:00:00"/>
        <d v="2025-09-11T00:00:00"/>
        <d v="2025-01-27T00:00:00"/>
        <d v="2025-07-15T00:00:00"/>
        <d v="2025-09-18T00:00:00"/>
        <d v="2025-10-02T00:00:00"/>
        <d v="2025-03-31T00:00:00"/>
        <d v="2025-06-21T00:00:00"/>
        <d v="2025-12-02T00:00:00"/>
        <d v="2025-01-23T00:00:00"/>
        <d v="2025-05-02T00:00:00"/>
        <d v="2025-03-22T00:00:00"/>
        <d v="2025-01-12T00:00:00"/>
        <d v="2025-09-12T00:00:00"/>
        <d v="2025-09-03T00:00:00"/>
        <d v="2025-03-23T00:00:00"/>
        <d v="2025-04-23T00:00:00"/>
        <d v="2025-07-06T00:00:00"/>
        <d v="2025-04-24T00:00:00"/>
        <d v="2025-12-05T00:00:00"/>
        <d v="2025-03-06T00:00:00"/>
        <d v="2025-09-24T00:00:00"/>
        <d v="2025-05-18T00:00:00"/>
        <d v="2025-11-27T00:00:00"/>
        <d v="2025-10-19T00:00:00"/>
        <d v="2025-12-15T00:00:00"/>
        <d v="2025-11-16T00:00:00"/>
        <d v="2025-07-18T00:00:00"/>
        <d v="2025-10-14T00:00:00"/>
        <d v="2025-10-26T00:00:00"/>
        <d v="2025-08-23T00:00:00"/>
        <d v="2025-06-02T00:00:00"/>
        <d v="2025-08-02T00:00:00"/>
        <d v="2025-11-13T00:00:00"/>
        <d v="2025-04-17T00:00:00"/>
        <d v="2025-01-15T00:00:00"/>
        <d v="2025-08-18T00:00:00"/>
        <d v="2025-01-02T00:00:00"/>
        <d v="2025-04-14T00:00:00"/>
        <d v="2025-11-02T00:00:00"/>
        <d v="2025-06-28T00:00:00"/>
        <d v="2025-11-15T00:00:00"/>
        <d v="2025-08-11T00:00:00"/>
        <d v="2025-06-04T00:00:00"/>
        <d v="2025-12-13T00:00:00"/>
        <d v="2025-03-14T00:00:00"/>
        <d v="2025-09-07T00:00:00"/>
        <d v="2025-06-11T00:00:00"/>
        <d v="2025-10-24T00:00:00"/>
        <d v="2025-11-21T00:00:00"/>
        <d v="2025-03-29T00:00:00"/>
        <d v="2025-03-09T00:00:00"/>
        <d v="2025-01-01T00:00:00"/>
        <d v="2025-02-12T00:00:00"/>
        <d v="2025-03-21T00:00:00"/>
        <d v="2025-06-26T00:00:00"/>
        <d v="2025-03-16T00:00:00"/>
        <d v="2025-01-06T00:00:00"/>
        <d v="2025-06-30T00:00:00"/>
        <d v="2025-04-22T00:00:00"/>
        <d v="2025-07-23T00:00:00"/>
        <d v="2025-01-07T00:00:00"/>
        <d v="2025-08-06T00:00:00"/>
        <d v="2025-04-11T00:00:00"/>
        <d v="2025-03-25T00:00:00"/>
        <d v="2025-01-28T00:00:00"/>
        <d v="2025-11-20T00:00:00"/>
        <d v="2025-09-25T00:00:00"/>
        <d v="2025-12-22T00:00:00"/>
        <d v="2025-04-07T00:00:00"/>
        <d v="2025-04-09T00:00:00"/>
        <d v="2025-08-31T00:00:00"/>
        <d v="2025-07-10T00:00:00"/>
        <d v="2025-07-07T00:00:00"/>
        <d v="2025-09-09T00:00:00"/>
        <d v="2025-02-21T00:00:00"/>
        <d v="2025-04-03T00:00:00"/>
        <d v="2025-10-20T00:00:00"/>
        <d v="2025-03-18T00:00:00"/>
        <d v="2025-11-01T00:00:00"/>
        <d v="2025-02-27T00:00:00"/>
        <d v="2025-02-10T00:00:00"/>
        <d v="2025-05-19T00:00:00"/>
        <d v="2025-12-04T00:00:00"/>
        <d v="2025-11-04T00:00:00"/>
        <d v="2025-10-01T00:00:00"/>
        <d v="2025-04-21T00:00:00"/>
        <d v="2025-06-08T00:00:00"/>
        <d v="2025-02-14T00:00:00"/>
        <d v="2025-06-13T00:00:00"/>
        <d v="2025-05-26T00:00:00"/>
        <d v="2025-06-25T00:00:00"/>
        <d v="2025-11-03T00:00:00"/>
        <d v="2025-04-06T00:00:00"/>
        <d v="2025-10-25T00:00:00"/>
        <d v="2025-05-12T00:00:00"/>
        <d v="2025-02-13T00:00:00"/>
        <d v="2025-05-11T00:00:00"/>
        <d v="2025-09-26T00:00:00"/>
        <d v="2025-07-12T00:00:00"/>
        <d v="2025-07-16T00:00:00"/>
        <d v="2025-12-08T00:00:00"/>
        <d v="2025-12-28T00:00:00"/>
        <d v="2025-11-10T00:00:00"/>
        <d v="2025-06-16T00:00:00"/>
        <d v="2025-01-09T00:00:00"/>
        <d v="2025-11-18T00:00:00"/>
        <d v="2025-09-02T00:00:00"/>
        <d v="2025-12-29T00:00:00"/>
        <d v="2025-03-17T00:00:00"/>
        <d v="2025-06-19T00:00:00"/>
        <d v="2025-10-18T00:00:00"/>
        <d v="2025-05-15T00:00:00"/>
        <d v="2025-11-22T00:00:00"/>
        <d v="2025-02-09T00:00:00"/>
        <d v="2025-05-04T00:00:00"/>
        <d v="2025-02-05T00:00:00"/>
        <d v="2025-04-01T00:00:00"/>
        <d v="2025-10-03T00:00:00"/>
        <d v="2025-09-08T00:00:00"/>
        <d v="2025-11-26T00:00:00"/>
        <d v="2025-05-01T00:00:00"/>
        <d v="2025-07-05T00:00:00"/>
        <d v="2025-06-12T00:00:00"/>
        <d v="2025-10-08T00:00:00"/>
        <d v="2025-02-26T00:00:00"/>
        <d v="2025-05-29T00:00:00"/>
        <d v="2025-08-05T00:00:00"/>
        <d v="2025-08-15T00:00:00"/>
        <d v="2025-08-20T00:00:00"/>
        <d v="2025-02-11T00:00:00"/>
        <d v="2025-03-20T00:00:00"/>
        <d v="2025-08-01T00:00:00"/>
        <d v="2025-07-02T00:00:00"/>
        <d v="2025-10-13T00:00:00"/>
        <d v="2025-08-21T00:00:00"/>
        <d v="2025-10-29T00:00:00"/>
        <d v="2025-06-07T00:00:00"/>
        <d v="2025-07-28T00:00:00"/>
        <d v="2025-10-04T00:00:00"/>
        <d v="2025-05-24T00:00:00"/>
        <d v="2025-11-17T00:00:00"/>
        <d v="2025-02-01T00:00:00"/>
        <d v="2025-04-28T00:00:00"/>
        <d v="2025-07-27T00:00:00"/>
        <d v="2025-03-15T00:00:00"/>
        <d v="2025-07-21T00:00:00"/>
        <d v="2025-01-10T00:00:00"/>
        <d v="2025-12-12T00:00:00"/>
        <d v="2025-06-17T00:00:00"/>
        <d v="2025-01-13T00:00:00"/>
        <d v="2025-02-19T00:00:00"/>
        <d v="2025-11-30T00:00:00"/>
        <d v="2025-09-21T00:00:00"/>
        <d v="2025-10-10T00:00:00"/>
        <d v="2025-12-03T00:00:00"/>
        <d v="2025-01-03T00:00:00"/>
        <d v="2025-08-07T00:00:00"/>
        <d v="2025-10-07T00:00:00"/>
        <d v="2025-11-24T00:00:00"/>
        <d v="2025-02-17T00:00:00"/>
        <d v="2025-02-24T00:00:00"/>
        <d v="2025-09-28T00:00:00"/>
        <d v="2025-01-21T00:00:00"/>
        <d v="2025-05-06T00:00:00"/>
        <d v="2025-08-09T00:00:00"/>
        <d v="2025-12-31T00:00:00"/>
        <d v="2025-03-27T00:00:00"/>
        <d v="2025-07-20T00:00:00"/>
        <d v="2025-10-06T00:00:00"/>
        <d v="2025-12-07T00:00:00"/>
        <d v="2025-11-23T00:00:00"/>
        <d v="2025-04-15T00:00:00"/>
        <d v="2025-08-13T00:00:00"/>
        <d v="2025-02-28T00:00:00"/>
        <d v="2025-05-23T00:00:00"/>
        <d v="2025-08-03T00:00:00"/>
        <d v="2025-05-20T00:00:00"/>
        <d v="2025-04-18T00:00:00"/>
        <d v="2025-09-22T00:00:00"/>
        <d v="2025-06-09T00:00:00"/>
        <d v="2025-05-13T00:00:00"/>
        <d v="2025-01-19T00:00:00"/>
        <d v="2025-04-04T00:00:00"/>
        <d v="2025-04-27T00:00:00"/>
        <d v="2025-07-01T00:00:00"/>
        <d v="2025-06-20T00:00:00"/>
        <d v="2025-12-25T00:00:00"/>
        <d v="2025-06-14T00:00:00"/>
        <d v="2025-01-29T00:00:00"/>
        <d v="2025-07-13T00:00:00"/>
        <d v="2025-02-04T00:00:00"/>
        <d v="2025-07-17T00:00:00"/>
        <d v="2025-07-29T00:00:00"/>
        <d v="2025-08-28T00:00:00"/>
        <d v="2025-02-18T00:00:00"/>
        <d v="2025-03-26T00:00:00"/>
        <d v="2025-01-31T00:00:00"/>
        <d v="2025-05-17T00:00:00"/>
        <d v="2025-04-10T00:00:00"/>
        <d v="2025-05-08T00:00:00"/>
        <d v="2025-02-03T00:00:00"/>
        <d v="2025-02-23T00:00:00"/>
        <d v="2025-02-06T00:00:00"/>
        <d v="2025-12-09T00:00:00"/>
        <d v="2025-01-24T00:00:00"/>
      </sharedItems>
      <fieldGroup par="21"/>
    </cacheField>
    <cacheField name="City" numFmtId="0">
      <sharedItems count="10">
        <s v="Ahmedabad"/>
        <s v="Pune"/>
        <s v="Mumbai"/>
        <s v="Indore"/>
        <s v="Jaipur"/>
        <s v="Surat"/>
        <s v="Lucknow"/>
        <s v="Vadodara"/>
        <s v="Delhi"/>
        <s v="Rajkot"/>
      </sharedItems>
    </cacheField>
    <cacheField name="Payment_Method" numFmtId="0">
      <sharedItems/>
    </cacheField>
    <cacheField name="Patient_Status" numFmtId="0">
      <sharedItems/>
    </cacheField>
    <cacheField name="Room_Number" numFmtId="0">
      <sharedItems containsSemiMixedTypes="0" containsString="0" containsNumber="1" containsInteger="1" minValue="100" maxValue="998"/>
    </cacheField>
    <cacheField name="Contact_Number" numFmtId="0">
      <sharedItems/>
    </cacheField>
    <cacheField name="Days (Discharge_Date)" numFmtId="0" databaseField="0">
      <fieldGroup base="14">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ischarge_Date)" numFmtId="0" databaseField="0">
      <fieldGroup base="14">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005594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36"/>
    <x v="0"/>
    <s v="A-"/>
    <x v="0"/>
    <x v="0"/>
    <x v="0"/>
    <n v="509"/>
    <n v="4967"/>
    <n v="1012"/>
    <n v="10674"/>
    <n v="17162"/>
    <x v="0"/>
    <x v="0"/>
    <x v="0"/>
    <s v="Card"/>
    <s v="Under Treatment"/>
    <n v="716"/>
    <s v="+91-6113971123"/>
  </r>
  <r>
    <x v="1"/>
    <x v="1"/>
    <n v="84"/>
    <x v="1"/>
    <s v="O-"/>
    <x v="0"/>
    <x v="1"/>
    <x v="1"/>
    <n v="869"/>
    <n v="553"/>
    <n v="6516"/>
    <n v="14202"/>
    <n v="22140"/>
    <x v="1"/>
    <x v="1"/>
    <x v="1"/>
    <s v="Card"/>
    <s v="Admitted"/>
    <n v="881"/>
    <s v="+91-7445662585"/>
  </r>
  <r>
    <x v="2"/>
    <x v="2"/>
    <n v="49"/>
    <x v="0"/>
    <s v="A-"/>
    <x v="1"/>
    <x v="2"/>
    <x v="2"/>
    <n v="841"/>
    <n v="855"/>
    <n v="6277"/>
    <n v="8527"/>
    <n v="16500"/>
    <x v="2"/>
    <x v="2"/>
    <x v="1"/>
    <s v="UPI"/>
    <s v="Under Treatment"/>
    <n v="733"/>
    <s v="+91-9802986287"/>
  </r>
  <r>
    <x v="3"/>
    <x v="3"/>
    <n v="25"/>
    <x v="0"/>
    <s v="AB-"/>
    <x v="2"/>
    <x v="3"/>
    <x v="3"/>
    <n v="892"/>
    <n v="1153"/>
    <n v="7306"/>
    <n v="4814"/>
    <n v="14165"/>
    <x v="3"/>
    <x v="3"/>
    <x v="2"/>
    <s v="UPI"/>
    <s v="Admitted"/>
    <n v="479"/>
    <s v="+91-7525876051"/>
  </r>
  <r>
    <x v="4"/>
    <x v="4"/>
    <n v="83"/>
    <x v="0"/>
    <s v="B-"/>
    <x v="3"/>
    <x v="3"/>
    <x v="3"/>
    <n v="634"/>
    <n v="4286"/>
    <n v="3408"/>
    <n v="5422"/>
    <n v="13750"/>
    <x v="4"/>
    <x v="4"/>
    <x v="3"/>
    <s v="UPI"/>
    <s v="Admitted"/>
    <n v="334"/>
    <s v="+91-9529615275"/>
  </r>
  <r>
    <x v="5"/>
    <x v="5"/>
    <n v="52"/>
    <x v="1"/>
    <s v="B+"/>
    <x v="4"/>
    <x v="1"/>
    <x v="4"/>
    <n v="1461"/>
    <n v="3077"/>
    <n v="2041"/>
    <n v="11738"/>
    <n v="18317"/>
    <x v="5"/>
    <x v="5"/>
    <x v="4"/>
    <s v="Card"/>
    <s v="Admitted"/>
    <n v="862"/>
    <s v="+91-8411057787"/>
  </r>
  <r>
    <x v="6"/>
    <x v="6"/>
    <n v="75"/>
    <x v="1"/>
    <s v="B+"/>
    <x v="5"/>
    <x v="3"/>
    <x v="2"/>
    <n v="749"/>
    <n v="1633"/>
    <n v="4474"/>
    <n v="9085"/>
    <n v="15941"/>
    <x v="6"/>
    <x v="6"/>
    <x v="5"/>
    <s v="Card"/>
    <s v="Under Treatment"/>
    <n v="532"/>
    <s v="+91-8561557300"/>
  </r>
  <r>
    <x v="7"/>
    <x v="7"/>
    <n v="49"/>
    <x v="1"/>
    <s v="O+"/>
    <x v="6"/>
    <x v="4"/>
    <x v="5"/>
    <n v="534"/>
    <n v="4898"/>
    <n v="6451"/>
    <n v="5371"/>
    <n v="17254"/>
    <x v="7"/>
    <x v="7"/>
    <x v="5"/>
    <s v="Card"/>
    <s v="Discharged"/>
    <n v="103"/>
    <s v="+91-9101361778"/>
  </r>
  <r>
    <x v="8"/>
    <x v="8"/>
    <n v="23"/>
    <x v="0"/>
    <s v="O-"/>
    <x v="6"/>
    <x v="4"/>
    <x v="4"/>
    <n v="613"/>
    <n v="3563"/>
    <n v="6546"/>
    <n v="3646"/>
    <n v="14368"/>
    <x v="8"/>
    <x v="8"/>
    <x v="0"/>
    <s v="Cash"/>
    <s v="Admitted"/>
    <n v="471"/>
    <s v="+91-9774081712"/>
  </r>
  <r>
    <x v="9"/>
    <x v="9"/>
    <n v="8"/>
    <x v="0"/>
    <s v="B+"/>
    <x v="4"/>
    <x v="1"/>
    <x v="6"/>
    <n v="1295"/>
    <n v="1066"/>
    <n v="6530"/>
    <n v="9727"/>
    <n v="18618"/>
    <x v="9"/>
    <x v="9"/>
    <x v="4"/>
    <s v="Insurance"/>
    <s v="Admitted"/>
    <n v="652"/>
    <s v="+91-9243839315"/>
  </r>
  <r>
    <x v="10"/>
    <x v="10"/>
    <n v="52"/>
    <x v="1"/>
    <s v="B-"/>
    <x v="7"/>
    <x v="2"/>
    <x v="1"/>
    <n v="547"/>
    <n v="2530"/>
    <n v="2140"/>
    <n v="2049"/>
    <n v="7266"/>
    <x v="10"/>
    <x v="10"/>
    <x v="6"/>
    <s v="Card"/>
    <s v="Admitted"/>
    <n v="172"/>
    <s v="+91-9040153710"/>
  </r>
  <r>
    <x v="11"/>
    <x v="11"/>
    <n v="9"/>
    <x v="0"/>
    <s v="B+"/>
    <x v="1"/>
    <x v="3"/>
    <x v="6"/>
    <n v="1352"/>
    <n v="2449"/>
    <n v="2581"/>
    <n v="11960"/>
    <n v="18342"/>
    <x v="11"/>
    <x v="11"/>
    <x v="3"/>
    <s v="Insurance"/>
    <s v="Admitted"/>
    <n v="903"/>
    <s v="+91-8031403296"/>
  </r>
  <r>
    <x v="12"/>
    <x v="12"/>
    <n v="13"/>
    <x v="0"/>
    <s v="A+"/>
    <x v="5"/>
    <x v="4"/>
    <x v="2"/>
    <n v="1167"/>
    <n v="3867"/>
    <n v="4125"/>
    <n v="12945"/>
    <n v="22104"/>
    <x v="12"/>
    <x v="12"/>
    <x v="5"/>
    <s v="UPI"/>
    <s v="Admitted"/>
    <n v="354"/>
    <s v="+91-6822873088"/>
  </r>
  <r>
    <x v="13"/>
    <x v="13"/>
    <n v="58"/>
    <x v="0"/>
    <s v="A+"/>
    <x v="5"/>
    <x v="3"/>
    <x v="7"/>
    <n v="870"/>
    <n v="4289"/>
    <n v="2346"/>
    <n v="2235"/>
    <n v="9740"/>
    <x v="13"/>
    <x v="13"/>
    <x v="5"/>
    <s v="Cash"/>
    <s v="Admitted"/>
    <n v="871"/>
    <s v="+91-9645120421"/>
  </r>
  <r>
    <x v="14"/>
    <x v="14"/>
    <n v="53"/>
    <x v="1"/>
    <s v="AB-"/>
    <x v="7"/>
    <x v="1"/>
    <x v="4"/>
    <n v="1121"/>
    <n v="980"/>
    <n v="1648"/>
    <n v="7209"/>
    <n v="10958"/>
    <x v="14"/>
    <x v="14"/>
    <x v="2"/>
    <s v="Insurance"/>
    <s v="Under Treatment"/>
    <n v="848"/>
    <s v="+91-9364512142"/>
  </r>
  <r>
    <x v="15"/>
    <x v="15"/>
    <n v="20"/>
    <x v="0"/>
    <s v="AB-"/>
    <x v="6"/>
    <x v="2"/>
    <x v="4"/>
    <n v="419"/>
    <n v="4941"/>
    <n v="799"/>
    <n v="13254"/>
    <n v="19413"/>
    <x v="15"/>
    <x v="15"/>
    <x v="0"/>
    <s v="Card"/>
    <s v="Admitted"/>
    <n v="620"/>
    <s v="+91-6344076115"/>
  </r>
  <r>
    <x v="16"/>
    <x v="16"/>
    <n v="77"/>
    <x v="0"/>
    <s v="AB+"/>
    <x v="0"/>
    <x v="3"/>
    <x v="8"/>
    <n v="545"/>
    <n v="2516"/>
    <n v="5042"/>
    <n v="10740"/>
    <n v="18843"/>
    <x v="16"/>
    <x v="16"/>
    <x v="5"/>
    <s v="UPI"/>
    <s v="Discharged"/>
    <n v="309"/>
    <s v="+91-8876451163"/>
  </r>
  <r>
    <x v="17"/>
    <x v="17"/>
    <n v="34"/>
    <x v="1"/>
    <s v="A-"/>
    <x v="3"/>
    <x v="5"/>
    <x v="9"/>
    <n v="1236"/>
    <n v="3090"/>
    <n v="7910"/>
    <n v="13318"/>
    <n v="25554"/>
    <x v="17"/>
    <x v="17"/>
    <x v="4"/>
    <s v="Card"/>
    <s v="Under Treatment"/>
    <n v="371"/>
    <s v="+91-6568896616"/>
  </r>
  <r>
    <x v="18"/>
    <x v="18"/>
    <n v="32"/>
    <x v="1"/>
    <s v="A+"/>
    <x v="6"/>
    <x v="3"/>
    <x v="7"/>
    <n v="1197"/>
    <n v="4950"/>
    <n v="6063"/>
    <n v="5956"/>
    <n v="18166"/>
    <x v="18"/>
    <x v="18"/>
    <x v="3"/>
    <s v="UPI"/>
    <s v="Under Treatment"/>
    <n v="206"/>
    <s v="+91-9771526597"/>
  </r>
  <r>
    <x v="19"/>
    <x v="19"/>
    <n v="15"/>
    <x v="0"/>
    <s v="AB-"/>
    <x v="3"/>
    <x v="1"/>
    <x v="10"/>
    <n v="877"/>
    <n v="2225"/>
    <n v="6178"/>
    <n v="6617"/>
    <n v="15897"/>
    <x v="19"/>
    <x v="19"/>
    <x v="2"/>
    <s v="Cash"/>
    <s v="Admitted"/>
    <n v="749"/>
    <s v="+91-7819244083"/>
  </r>
  <r>
    <x v="20"/>
    <x v="20"/>
    <n v="1"/>
    <x v="1"/>
    <s v="A-"/>
    <x v="3"/>
    <x v="5"/>
    <x v="10"/>
    <n v="630"/>
    <n v="4119"/>
    <n v="4819"/>
    <n v="12561"/>
    <n v="22129"/>
    <x v="20"/>
    <x v="20"/>
    <x v="0"/>
    <s v="Card"/>
    <s v="Under Treatment"/>
    <n v="136"/>
    <s v="+91-9584558315"/>
  </r>
  <r>
    <x v="21"/>
    <x v="3"/>
    <n v="71"/>
    <x v="0"/>
    <s v="B-"/>
    <x v="5"/>
    <x v="3"/>
    <x v="0"/>
    <n v="385"/>
    <n v="3025"/>
    <n v="3287"/>
    <n v="14043"/>
    <n v="20740"/>
    <x v="16"/>
    <x v="21"/>
    <x v="7"/>
    <s v="Cash"/>
    <s v="Discharged"/>
    <n v="898"/>
    <s v="+91-8404681399"/>
  </r>
  <r>
    <x v="22"/>
    <x v="21"/>
    <n v="20"/>
    <x v="0"/>
    <s v="O+"/>
    <x v="3"/>
    <x v="0"/>
    <x v="7"/>
    <n v="1144"/>
    <n v="703"/>
    <n v="1769"/>
    <n v="13067"/>
    <n v="16683"/>
    <x v="21"/>
    <x v="22"/>
    <x v="7"/>
    <s v="Cash"/>
    <s v="Discharged"/>
    <n v="993"/>
    <s v="+91-6166320906"/>
  </r>
  <r>
    <x v="23"/>
    <x v="22"/>
    <n v="26"/>
    <x v="1"/>
    <s v="O+"/>
    <x v="1"/>
    <x v="6"/>
    <x v="9"/>
    <n v="766"/>
    <n v="2326"/>
    <n v="493"/>
    <n v="11813"/>
    <n v="15398"/>
    <x v="22"/>
    <x v="23"/>
    <x v="8"/>
    <s v="Cash"/>
    <s v="Discharged"/>
    <n v="459"/>
    <s v="+91-8755143093"/>
  </r>
  <r>
    <x v="24"/>
    <x v="23"/>
    <n v="69"/>
    <x v="1"/>
    <s v="AB+"/>
    <x v="2"/>
    <x v="1"/>
    <x v="11"/>
    <n v="834"/>
    <n v="1962"/>
    <n v="5056"/>
    <n v="5349"/>
    <n v="13201"/>
    <x v="23"/>
    <x v="24"/>
    <x v="6"/>
    <s v="UPI"/>
    <s v="Discharged"/>
    <n v="720"/>
    <s v="+91-8196545325"/>
  </r>
  <r>
    <x v="25"/>
    <x v="24"/>
    <n v="74"/>
    <x v="0"/>
    <s v="O-"/>
    <x v="6"/>
    <x v="4"/>
    <x v="12"/>
    <n v="1193"/>
    <n v="513"/>
    <n v="4559"/>
    <n v="14213"/>
    <n v="20478"/>
    <x v="24"/>
    <x v="19"/>
    <x v="7"/>
    <s v="Cash"/>
    <s v="Under Treatment"/>
    <n v="438"/>
    <s v="+91-8676432103"/>
  </r>
  <r>
    <x v="26"/>
    <x v="25"/>
    <n v="39"/>
    <x v="1"/>
    <s v="B+"/>
    <x v="5"/>
    <x v="2"/>
    <x v="13"/>
    <n v="1124"/>
    <n v="2922"/>
    <n v="4841"/>
    <n v="3085"/>
    <n v="11972"/>
    <x v="22"/>
    <x v="25"/>
    <x v="1"/>
    <s v="UPI"/>
    <s v="Discharged"/>
    <n v="661"/>
    <s v="+91-9580822352"/>
  </r>
  <r>
    <x v="27"/>
    <x v="26"/>
    <n v="37"/>
    <x v="0"/>
    <s v="B+"/>
    <x v="5"/>
    <x v="3"/>
    <x v="13"/>
    <n v="1252"/>
    <n v="4119"/>
    <n v="3922"/>
    <n v="12069"/>
    <n v="21362"/>
    <x v="25"/>
    <x v="26"/>
    <x v="4"/>
    <s v="Cash"/>
    <s v="Discharged"/>
    <n v="627"/>
    <s v="+91-8851230518"/>
  </r>
  <r>
    <x v="28"/>
    <x v="27"/>
    <n v="12"/>
    <x v="0"/>
    <s v="A-"/>
    <x v="6"/>
    <x v="4"/>
    <x v="3"/>
    <n v="707"/>
    <n v="1707"/>
    <n v="500"/>
    <n v="1757"/>
    <n v="4671"/>
    <x v="26"/>
    <x v="27"/>
    <x v="6"/>
    <s v="Insurance"/>
    <s v="Under Treatment"/>
    <n v="689"/>
    <s v="+91-6835092972"/>
  </r>
  <r>
    <x v="29"/>
    <x v="28"/>
    <n v="52"/>
    <x v="0"/>
    <s v="A+"/>
    <x v="3"/>
    <x v="2"/>
    <x v="5"/>
    <n v="518"/>
    <n v="3982"/>
    <n v="2092"/>
    <n v="3881"/>
    <n v="10473"/>
    <x v="27"/>
    <x v="28"/>
    <x v="4"/>
    <s v="Card"/>
    <s v="Admitted"/>
    <n v="567"/>
    <s v="+91-6572687073"/>
  </r>
  <r>
    <x v="30"/>
    <x v="29"/>
    <n v="72"/>
    <x v="1"/>
    <s v="B-"/>
    <x v="7"/>
    <x v="6"/>
    <x v="14"/>
    <n v="1422"/>
    <n v="4152"/>
    <n v="7649"/>
    <n v="3607"/>
    <n v="16830"/>
    <x v="28"/>
    <x v="29"/>
    <x v="2"/>
    <s v="UPI"/>
    <s v="Under Treatment"/>
    <n v="596"/>
    <s v="+91-8691864041"/>
  </r>
  <r>
    <x v="31"/>
    <x v="30"/>
    <n v="57"/>
    <x v="0"/>
    <s v="B-"/>
    <x v="6"/>
    <x v="4"/>
    <x v="3"/>
    <n v="856"/>
    <n v="3251"/>
    <n v="2919"/>
    <n v="9849"/>
    <n v="16875"/>
    <x v="29"/>
    <x v="30"/>
    <x v="9"/>
    <s v="Card"/>
    <s v="Under Treatment"/>
    <n v="319"/>
    <s v="+91-6275860817"/>
  </r>
  <r>
    <x v="32"/>
    <x v="31"/>
    <n v="43"/>
    <x v="1"/>
    <s v="AB+"/>
    <x v="5"/>
    <x v="4"/>
    <x v="12"/>
    <n v="723"/>
    <n v="3941"/>
    <n v="3490"/>
    <n v="13612"/>
    <n v="21766"/>
    <x v="30"/>
    <x v="31"/>
    <x v="0"/>
    <s v="Cash"/>
    <s v="Discharged"/>
    <n v="405"/>
    <s v="+91-9236151037"/>
  </r>
  <r>
    <x v="33"/>
    <x v="32"/>
    <n v="69"/>
    <x v="0"/>
    <s v="B+"/>
    <x v="7"/>
    <x v="6"/>
    <x v="3"/>
    <n v="858"/>
    <n v="4070"/>
    <n v="4278"/>
    <n v="1475"/>
    <n v="10681"/>
    <x v="31"/>
    <x v="32"/>
    <x v="1"/>
    <s v="Insurance"/>
    <s v="Admitted"/>
    <n v="737"/>
    <s v="+91-8294043548"/>
  </r>
  <r>
    <x v="34"/>
    <x v="33"/>
    <n v="76"/>
    <x v="0"/>
    <s v="B-"/>
    <x v="4"/>
    <x v="4"/>
    <x v="14"/>
    <n v="577"/>
    <n v="4282"/>
    <n v="1788"/>
    <n v="1823"/>
    <n v="8470"/>
    <x v="32"/>
    <x v="3"/>
    <x v="8"/>
    <s v="UPI"/>
    <s v="Discharged"/>
    <n v="879"/>
    <s v="+91-9778024983"/>
  </r>
  <r>
    <x v="35"/>
    <x v="34"/>
    <n v="54"/>
    <x v="1"/>
    <s v="A+"/>
    <x v="4"/>
    <x v="6"/>
    <x v="15"/>
    <n v="339"/>
    <n v="4918"/>
    <n v="726"/>
    <n v="6733"/>
    <n v="12716"/>
    <x v="33"/>
    <x v="33"/>
    <x v="5"/>
    <s v="Cash"/>
    <s v="Admitted"/>
    <n v="304"/>
    <s v="+91-9604460472"/>
  </r>
  <r>
    <x v="36"/>
    <x v="35"/>
    <n v="20"/>
    <x v="0"/>
    <s v="A-"/>
    <x v="3"/>
    <x v="6"/>
    <x v="15"/>
    <n v="534"/>
    <n v="2285"/>
    <n v="4109"/>
    <n v="12460"/>
    <n v="19388"/>
    <x v="34"/>
    <x v="34"/>
    <x v="9"/>
    <s v="Card"/>
    <s v="Discharged"/>
    <n v="210"/>
    <s v="+91-8485432021"/>
  </r>
  <r>
    <x v="37"/>
    <x v="26"/>
    <n v="74"/>
    <x v="1"/>
    <s v="A-"/>
    <x v="5"/>
    <x v="6"/>
    <x v="4"/>
    <n v="455"/>
    <n v="2489"/>
    <n v="1134"/>
    <n v="12422"/>
    <n v="16500"/>
    <x v="35"/>
    <x v="35"/>
    <x v="6"/>
    <s v="Cash"/>
    <s v="Discharged"/>
    <n v="645"/>
    <s v="+91-7839869544"/>
  </r>
  <r>
    <x v="38"/>
    <x v="18"/>
    <n v="65"/>
    <x v="1"/>
    <s v="AB+"/>
    <x v="2"/>
    <x v="0"/>
    <x v="14"/>
    <n v="1303"/>
    <n v="1364"/>
    <n v="3851"/>
    <n v="6934"/>
    <n v="13452"/>
    <x v="36"/>
    <x v="36"/>
    <x v="9"/>
    <s v="UPI"/>
    <s v="Under Treatment"/>
    <n v="927"/>
    <s v="+91-9949727766"/>
  </r>
  <r>
    <x v="39"/>
    <x v="15"/>
    <n v="60"/>
    <x v="1"/>
    <s v="AB+"/>
    <x v="6"/>
    <x v="1"/>
    <x v="13"/>
    <n v="802"/>
    <n v="1209"/>
    <n v="2584"/>
    <n v="8385"/>
    <n v="12980"/>
    <x v="37"/>
    <x v="37"/>
    <x v="6"/>
    <s v="Cash"/>
    <s v="Discharged"/>
    <n v="971"/>
    <s v="+91-7395925222"/>
  </r>
  <r>
    <x v="40"/>
    <x v="36"/>
    <n v="28"/>
    <x v="1"/>
    <s v="B-"/>
    <x v="6"/>
    <x v="3"/>
    <x v="13"/>
    <n v="872"/>
    <n v="2763"/>
    <n v="4853"/>
    <n v="1166"/>
    <n v="9654"/>
    <x v="38"/>
    <x v="38"/>
    <x v="5"/>
    <s v="Insurance"/>
    <s v="Discharged"/>
    <n v="668"/>
    <s v="+91-9256292393"/>
  </r>
  <r>
    <x v="41"/>
    <x v="37"/>
    <n v="83"/>
    <x v="1"/>
    <s v="O-"/>
    <x v="7"/>
    <x v="4"/>
    <x v="5"/>
    <n v="490"/>
    <n v="2910"/>
    <n v="2115"/>
    <n v="7625"/>
    <n v="13140"/>
    <x v="39"/>
    <x v="39"/>
    <x v="2"/>
    <s v="UPI"/>
    <s v="Discharged"/>
    <n v="863"/>
    <s v="+91-8363900493"/>
  </r>
  <r>
    <x v="42"/>
    <x v="38"/>
    <n v="59"/>
    <x v="1"/>
    <s v="B+"/>
    <x v="6"/>
    <x v="0"/>
    <x v="10"/>
    <n v="772"/>
    <n v="1488"/>
    <n v="6208"/>
    <n v="4155"/>
    <n v="12623"/>
    <x v="40"/>
    <x v="40"/>
    <x v="3"/>
    <s v="Card"/>
    <s v="Under Treatment"/>
    <n v="595"/>
    <s v="+91-7187556862"/>
  </r>
  <r>
    <x v="43"/>
    <x v="39"/>
    <n v="77"/>
    <x v="1"/>
    <s v="B+"/>
    <x v="4"/>
    <x v="1"/>
    <x v="4"/>
    <n v="906"/>
    <n v="2363"/>
    <n v="3256"/>
    <n v="3939"/>
    <n v="10464"/>
    <x v="35"/>
    <x v="41"/>
    <x v="3"/>
    <s v="Cash"/>
    <s v="Admitted"/>
    <n v="666"/>
    <s v="+91-7254717325"/>
  </r>
  <r>
    <x v="44"/>
    <x v="40"/>
    <n v="14"/>
    <x v="0"/>
    <s v="A-"/>
    <x v="6"/>
    <x v="6"/>
    <x v="15"/>
    <n v="1280"/>
    <n v="4108"/>
    <n v="3091"/>
    <n v="4020"/>
    <n v="12499"/>
    <x v="41"/>
    <x v="42"/>
    <x v="4"/>
    <s v="Cash"/>
    <s v="Discharged"/>
    <n v="603"/>
    <s v="+91-6318180503"/>
  </r>
  <r>
    <x v="45"/>
    <x v="41"/>
    <n v="20"/>
    <x v="0"/>
    <s v="B-"/>
    <x v="6"/>
    <x v="6"/>
    <x v="6"/>
    <n v="808"/>
    <n v="1470"/>
    <n v="4871"/>
    <n v="13524"/>
    <n v="20673"/>
    <x v="42"/>
    <x v="43"/>
    <x v="6"/>
    <s v="Insurance"/>
    <s v="Discharged"/>
    <n v="553"/>
    <s v="+91-7277121963"/>
  </r>
  <r>
    <x v="46"/>
    <x v="42"/>
    <n v="40"/>
    <x v="0"/>
    <s v="A-"/>
    <x v="4"/>
    <x v="0"/>
    <x v="4"/>
    <n v="732"/>
    <n v="2667"/>
    <n v="5710"/>
    <n v="2330"/>
    <n v="11439"/>
    <x v="43"/>
    <x v="44"/>
    <x v="9"/>
    <s v="Cash"/>
    <s v="Discharged"/>
    <n v="561"/>
    <s v="+91-8960826470"/>
  </r>
  <r>
    <x v="47"/>
    <x v="43"/>
    <n v="38"/>
    <x v="0"/>
    <s v="B-"/>
    <x v="0"/>
    <x v="4"/>
    <x v="9"/>
    <n v="879"/>
    <n v="4219"/>
    <n v="883"/>
    <n v="12262"/>
    <n v="18243"/>
    <x v="44"/>
    <x v="45"/>
    <x v="6"/>
    <s v="Cash"/>
    <s v="Under Treatment"/>
    <n v="330"/>
    <s v="+91-8781569954"/>
  </r>
  <r>
    <x v="48"/>
    <x v="19"/>
    <n v="19"/>
    <x v="0"/>
    <s v="AB+"/>
    <x v="2"/>
    <x v="1"/>
    <x v="7"/>
    <n v="929"/>
    <n v="2864"/>
    <n v="3897"/>
    <n v="3037"/>
    <n v="10727"/>
    <x v="45"/>
    <x v="4"/>
    <x v="2"/>
    <s v="Insurance"/>
    <s v="Discharged"/>
    <n v="182"/>
    <s v="+91-8568547910"/>
  </r>
  <r>
    <x v="49"/>
    <x v="44"/>
    <n v="42"/>
    <x v="1"/>
    <s v="B+"/>
    <x v="2"/>
    <x v="4"/>
    <x v="6"/>
    <n v="768"/>
    <n v="669"/>
    <n v="6564"/>
    <n v="12014"/>
    <n v="20015"/>
    <x v="46"/>
    <x v="46"/>
    <x v="0"/>
    <s v="Insurance"/>
    <s v="Discharged"/>
    <n v="285"/>
    <s v="+91-8513971584"/>
  </r>
  <r>
    <x v="50"/>
    <x v="45"/>
    <n v="12"/>
    <x v="1"/>
    <s v="AB-"/>
    <x v="1"/>
    <x v="1"/>
    <x v="14"/>
    <n v="982"/>
    <n v="3130"/>
    <n v="5789"/>
    <n v="2713"/>
    <n v="12614"/>
    <x v="47"/>
    <x v="47"/>
    <x v="1"/>
    <s v="Insurance"/>
    <s v="Under Treatment"/>
    <n v="137"/>
    <s v="+91-7953462417"/>
  </r>
  <r>
    <x v="51"/>
    <x v="46"/>
    <n v="33"/>
    <x v="1"/>
    <s v="B-"/>
    <x v="4"/>
    <x v="2"/>
    <x v="8"/>
    <n v="1353"/>
    <n v="509"/>
    <n v="5687"/>
    <n v="9889"/>
    <n v="17438"/>
    <x v="48"/>
    <x v="48"/>
    <x v="0"/>
    <s v="UPI"/>
    <s v="Under Treatment"/>
    <n v="874"/>
    <s v="+91-8141011556"/>
  </r>
  <r>
    <x v="52"/>
    <x v="47"/>
    <n v="27"/>
    <x v="1"/>
    <s v="B+"/>
    <x v="3"/>
    <x v="1"/>
    <x v="9"/>
    <n v="1197"/>
    <n v="4470"/>
    <n v="1294"/>
    <n v="1472"/>
    <n v="8433"/>
    <x v="49"/>
    <x v="49"/>
    <x v="7"/>
    <s v="Cash"/>
    <s v="Under Treatment"/>
    <n v="517"/>
    <s v="+91-6400330495"/>
  </r>
  <r>
    <x v="53"/>
    <x v="48"/>
    <n v="60"/>
    <x v="0"/>
    <s v="B-"/>
    <x v="3"/>
    <x v="4"/>
    <x v="15"/>
    <n v="897"/>
    <n v="4668"/>
    <n v="6078"/>
    <n v="5479"/>
    <n v="17122"/>
    <x v="50"/>
    <x v="50"/>
    <x v="4"/>
    <s v="Card"/>
    <s v="Discharged"/>
    <n v="295"/>
    <s v="+91-9959393557"/>
  </r>
  <r>
    <x v="54"/>
    <x v="49"/>
    <n v="18"/>
    <x v="0"/>
    <s v="AB-"/>
    <x v="6"/>
    <x v="6"/>
    <x v="14"/>
    <n v="996"/>
    <n v="4659"/>
    <n v="2488"/>
    <n v="14443"/>
    <n v="22586"/>
    <x v="14"/>
    <x v="51"/>
    <x v="2"/>
    <s v="Card"/>
    <s v="Discharged"/>
    <n v="651"/>
    <s v="+91-8080230418"/>
  </r>
  <r>
    <x v="55"/>
    <x v="50"/>
    <n v="71"/>
    <x v="1"/>
    <s v="O-"/>
    <x v="7"/>
    <x v="3"/>
    <x v="13"/>
    <n v="686"/>
    <n v="2456"/>
    <n v="4984"/>
    <n v="7274"/>
    <n v="15400"/>
    <x v="44"/>
    <x v="22"/>
    <x v="0"/>
    <s v="Insurance"/>
    <s v="Under Treatment"/>
    <n v="930"/>
    <s v="+91-7637375316"/>
  </r>
  <r>
    <x v="56"/>
    <x v="51"/>
    <n v="64"/>
    <x v="0"/>
    <s v="AB+"/>
    <x v="3"/>
    <x v="6"/>
    <x v="13"/>
    <n v="505"/>
    <n v="4106"/>
    <n v="1116"/>
    <n v="9617"/>
    <n v="15344"/>
    <x v="51"/>
    <x v="41"/>
    <x v="9"/>
    <s v="Card"/>
    <s v="Admitted"/>
    <n v="580"/>
    <s v="+91-9356625550"/>
  </r>
  <r>
    <x v="57"/>
    <x v="52"/>
    <n v="80"/>
    <x v="1"/>
    <s v="A-"/>
    <x v="4"/>
    <x v="0"/>
    <x v="13"/>
    <n v="1392"/>
    <n v="3613"/>
    <n v="2894"/>
    <n v="11269"/>
    <n v="19168"/>
    <x v="52"/>
    <x v="52"/>
    <x v="0"/>
    <s v="UPI"/>
    <s v="Admitted"/>
    <n v="864"/>
    <s v="+91-6388176285"/>
  </r>
  <r>
    <x v="58"/>
    <x v="53"/>
    <n v="82"/>
    <x v="0"/>
    <s v="O-"/>
    <x v="7"/>
    <x v="4"/>
    <x v="7"/>
    <n v="913"/>
    <n v="737"/>
    <n v="676"/>
    <n v="6314"/>
    <n v="8640"/>
    <x v="53"/>
    <x v="53"/>
    <x v="8"/>
    <s v="Card"/>
    <s v="Admitted"/>
    <n v="643"/>
    <s v="+91-7769748771"/>
  </r>
  <r>
    <x v="59"/>
    <x v="54"/>
    <n v="22"/>
    <x v="0"/>
    <s v="O+"/>
    <x v="4"/>
    <x v="4"/>
    <x v="8"/>
    <n v="793"/>
    <n v="4576"/>
    <n v="7777"/>
    <n v="10554"/>
    <n v="23700"/>
    <x v="54"/>
    <x v="54"/>
    <x v="4"/>
    <s v="UPI"/>
    <s v="Under Treatment"/>
    <n v="109"/>
    <s v="+91-9860782736"/>
  </r>
  <r>
    <x v="60"/>
    <x v="55"/>
    <n v="70"/>
    <x v="0"/>
    <s v="O+"/>
    <x v="4"/>
    <x v="0"/>
    <x v="1"/>
    <n v="1007"/>
    <n v="2950"/>
    <n v="5534"/>
    <n v="7951"/>
    <n v="17442"/>
    <x v="55"/>
    <x v="55"/>
    <x v="4"/>
    <s v="Insurance"/>
    <s v="Discharged"/>
    <n v="209"/>
    <s v="+91-7018790736"/>
  </r>
  <r>
    <x v="61"/>
    <x v="56"/>
    <n v="46"/>
    <x v="1"/>
    <s v="AB-"/>
    <x v="6"/>
    <x v="6"/>
    <x v="5"/>
    <n v="1110"/>
    <n v="2748"/>
    <n v="366"/>
    <n v="10272"/>
    <n v="14496"/>
    <x v="56"/>
    <x v="56"/>
    <x v="6"/>
    <s v="UPI"/>
    <s v="Admitted"/>
    <n v="721"/>
    <s v="+91-9444271529"/>
  </r>
  <r>
    <x v="62"/>
    <x v="57"/>
    <n v="82"/>
    <x v="0"/>
    <s v="O-"/>
    <x v="6"/>
    <x v="3"/>
    <x v="0"/>
    <n v="498"/>
    <n v="822"/>
    <n v="2830"/>
    <n v="13920"/>
    <n v="18070"/>
    <x v="57"/>
    <x v="57"/>
    <x v="6"/>
    <s v="Card"/>
    <s v="Admitted"/>
    <n v="402"/>
    <s v="+91-7403247962"/>
  </r>
  <r>
    <x v="63"/>
    <x v="58"/>
    <n v="26"/>
    <x v="0"/>
    <s v="A-"/>
    <x v="1"/>
    <x v="4"/>
    <x v="10"/>
    <n v="636"/>
    <n v="2605"/>
    <n v="7787"/>
    <n v="14511"/>
    <n v="25539"/>
    <x v="58"/>
    <x v="58"/>
    <x v="8"/>
    <s v="Cash"/>
    <s v="Admitted"/>
    <n v="872"/>
    <s v="+91-6969007714"/>
  </r>
  <r>
    <x v="64"/>
    <x v="59"/>
    <n v="47"/>
    <x v="0"/>
    <s v="AB+"/>
    <x v="5"/>
    <x v="6"/>
    <x v="5"/>
    <n v="841"/>
    <n v="4895"/>
    <n v="1312"/>
    <n v="8451"/>
    <n v="15499"/>
    <x v="59"/>
    <x v="12"/>
    <x v="2"/>
    <s v="UPI"/>
    <s v="Admitted"/>
    <n v="791"/>
    <s v="+91-7004257438"/>
  </r>
  <r>
    <x v="65"/>
    <x v="60"/>
    <n v="80"/>
    <x v="1"/>
    <s v="A+"/>
    <x v="0"/>
    <x v="1"/>
    <x v="6"/>
    <n v="1250"/>
    <n v="2975"/>
    <n v="5618"/>
    <n v="7689"/>
    <n v="17532"/>
    <x v="60"/>
    <x v="59"/>
    <x v="0"/>
    <s v="Insurance"/>
    <s v="Admitted"/>
    <n v="199"/>
    <s v="+91-7008458444"/>
  </r>
  <r>
    <x v="66"/>
    <x v="61"/>
    <n v="50"/>
    <x v="1"/>
    <s v="O+"/>
    <x v="1"/>
    <x v="5"/>
    <x v="14"/>
    <n v="616"/>
    <n v="3898"/>
    <n v="5665"/>
    <n v="2622"/>
    <n v="12801"/>
    <x v="61"/>
    <x v="60"/>
    <x v="1"/>
    <s v="UPI"/>
    <s v="Admitted"/>
    <n v="554"/>
    <s v="+91-7909954149"/>
  </r>
  <r>
    <x v="67"/>
    <x v="62"/>
    <n v="13"/>
    <x v="1"/>
    <s v="A+"/>
    <x v="1"/>
    <x v="5"/>
    <x v="12"/>
    <n v="1115"/>
    <n v="2760"/>
    <n v="1854"/>
    <n v="3001"/>
    <n v="8730"/>
    <x v="62"/>
    <x v="61"/>
    <x v="7"/>
    <s v="UPI"/>
    <s v="Admitted"/>
    <n v="228"/>
    <s v="+91-9380045208"/>
  </r>
  <r>
    <x v="68"/>
    <x v="63"/>
    <n v="9"/>
    <x v="0"/>
    <s v="B+"/>
    <x v="0"/>
    <x v="2"/>
    <x v="3"/>
    <n v="972"/>
    <n v="1708"/>
    <n v="6760"/>
    <n v="10764"/>
    <n v="20204"/>
    <x v="14"/>
    <x v="62"/>
    <x v="9"/>
    <s v="UPI"/>
    <s v="Admitted"/>
    <n v="212"/>
    <s v="+91-8839220941"/>
  </r>
  <r>
    <x v="69"/>
    <x v="64"/>
    <n v="2"/>
    <x v="1"/>
    <s v="A-"/>
    <x v="0"/>
    <x v="3"/>
    <x v="13"/>
    <n v="332"/>
    <n v="1927"/>
    <n v="2473"/>
    <n v="1858"/>
    <n v="6590"/>
    <x v="9"/>
    <x v="25"/>
    <x v="3"/>
    <s v="Cash"/>
    <s v="Discharged"/>
    <n v="559"/>
    <s v="+91-9341557731"/>
  </r>
  <r>
    <x v="70"/>
    <x v="65"/>
    <n v="76"/>
    <x v="0"/>
    <s v="AB-"/>
    <x v="7"/>
    <x v="6"/>
    <x v="3"/>
    <n v="388"/>
    <n v="4771"/>
    <n v="2770"/>
    <n v="8504"/>
    <n v="16433"/>
    <x v="63"/>
    <x v="63"/>
    <x v="0"/>
    <s v="Insurance"/>
    <s v="Discharged"/>
    <n v="802"/>
    <s v="+91-6463692519"/>
  </r>
  <r>
    <x v="71"/>
    <x v="66"/>
    <n v="10"/>
    <x v="0"/>
    <s v="O-"/>
    <x v="1"/>
    <x v="4"/>
    <x v="0"/>
    <n v="434"/>
    <n v="1533"/>
    <n v="2552"/>
    <n v="11228"/>
    <n v="15747"/>
    <x v="64"/>
    <x v="64"/>
    <x v="3"/>
    <s v="UPI"/>
    <s v="Discharged"/>
    <n v="617"/>
    <s v="+91-8600288277"/>
  </r>
  <r>
    <x v="72"/>
    <x v="53"/>
    <n v="15"/>
    <x v="0"/>
    <s v="A-"/>
    <x v="5"/>
    <x v="1"/>
    <x v="1"/>
    <n v="767"/>
    <n v="3889"/>
    <n v="3076"/>
    <n v="14556"/>
    <n v="22288"/>
    <x v="62"/>
    <x v="23"/>
    <x v="1"/>
    <s v="Insurance"/>
    <s v="Discharged"/>
    <n v="781"/>
    <s v="+91-7094743340"/>
  </r>
  <r>
    <x v="73"/>
    <x v="67"/>
    <n v="61"/>
    <x v="0"/>
    <s v="A+"/>
    <x v="4"/>
    <x v="2"/>
    <x v="6"/>
    <n v="490"/>
    <n v="4037"/>
    <n v="1091"/>
    <n v="13199"/>
    <n v="18817"/>
    <x v="65"/>
    <x v="65"/>
    <x v="3"/>
    <s v="UPI"/>
    <s v="Under Treatment"/>
    <n v="225"/>
    <s v="+91-7764409657"/>
  </r>
  <r>
    <x v="74"/>
    <x v="68"/>
    <n v="7"/>
    <x v="1"/>
    <s v="A-"/>
    <x v="6"/>
    <x v="1"/>
    <x v="2"/>
    <n v="512"/>
    <n v="4656"/>
    <n v="2042"/>
    <n v="3535"/>
    <n v="10745"/>
    <x v="66"/>
    <x v="66"/>
    <x v="7"/>
    <s v="UPI"/>
    <s v="Admitted"/>
    <n v="880"/>
    <s v="+91-7196441373"/>
  </r>
  <r>
    <x v="75"/>
    <x v="69"/>
    <n v="55"/>
    <x v="0"/>
    <s v="A+"/>
    <x v="6"/>
    <x v="0"/>
    <x v="5"/>
    <n v="669"/>
    <n v="2738"/>
    <n v="6056"/>
    <n v="13491"/>
    <n v="22954"/>
    <x v="67"/>
    <x v="67"/>
    <x v="8"/>
    <s v="Card"/>
    <s v="Under Treatment"/>
    <n v="773"/>
    <s v="+91-7721355673"/>
  </r>
  <r>
    <x v="76"/>
    <x v="70"/>
    <n v="82"/>
    <x v="0"/>
    <s v="O-"/>
    <x v="4"/>
    <x v="6"/>
    <x v="4"/>
    <n v="1070"/>
    <n v="3939"/>
    <n v="4016"/>
    <n v="6585"/>
    <n v="15610"/>
    <x v="43"/>
    <x v="68"/>
    <x v="2"/>
    <s v="Cash"/>
    <s v="Admitted"/>
    <n v="259"/>
    <s v="+91-6676070354"/>
  </r>
  <r>
    <x v="77"/>
    <x v="71"/>
    <n v="11"/>
    <x v="1"/>
    <s v="O-"/>
    <x v="7"/>
    <x v="4"/>
    <x v="14"/>
    <n v="1294"/>
    <n v="4121"/>
    <n v="3692"/>
    <n v="5475"/>
    <n v="14582"/>
    <x v="68"/>
    <x v="69"/>
    <x v="5"/>
    <s v="Cash"/>
    <s v="Discharged"/>
    <n v="794"/>
    <s v="+91-8914076272"/>
  </r>
  <r>
    <x v="78"/>
    <x v="72"/>
    <n v="68"/>
    <x v="1"/>
    <s v="O+"/>
    <x v="2"/>
    <x v="1"/>
    <x v="3"/>
    <n v="1109"/>
    <n v="948"/>
    <n v="362"/>
    <n v="4349"/>
    <n v="6768"/>
    <x v="35"/>
    <x v="70"/>
    <x v="9"/>
    <s v="UPI"/>
    <s v="Admitted"/>
    <n v="107"/>
    <s v="+91-8136253713"/>
  </r>
  <r>
    <x v="79"/>
    <x v="58"/>
    <n v="17"/>
    <x v="1"/>
    <s v="AB-"/>
    <x v="0"/>
    <x v="5"/>
    <x v="2"/>
    <n v="447"/>
    <n v="3752"/>
    <n v="7359"/>
    <n v="13157"/>
    <n v="24715"/>
    <x v="69"/>
    <x v="71"/>
    <x v="0"/>
    <s v="UPI"/>
    <s v="Under Treatment"/>
    <n v="539"/>
    <s v="+91-8462732890"/>
  </r>
  <r>
    <x v="80"/>
    <x v="32"/>
    <n v="38"/>
    <x v="0"/>
    <s v="A-"/>
    <x v="5"/>
    <x v="4"/>
    <x v="5"/>
    <n v="965"/>
    <n v="1907"/>
    <n v="6864"/>
    <n v="11127"/>
    <n v="20863"/>
    <x v="70"/>
    <x v="72"/>
    <x v="8"/>
    <s v="Cash"/>
    <s v="Admitted"/>
    <n v="546"/>
    <s v="+91-8529182928"/>
  </r>
  <r>
    <x v="81"/>
    <x v="73"/>
    <n v="11"/>
    <x v="1"/>
    <s v="B-"/>
    <x v="6"/>
    <x v="6"/>
    <x v="13"/>
    <n v="753"/>
    <n v="3228"/>
    <n v="6682"/>
    <n v="3754"/>
    <n v="14417"/>
    <x v="71"/>
    <x v="26"/>
    <x v="5"/>
    <s v="UPI"/>
    <s v="Discharged"/>
    <n v="844"/>
    <s v="+91-9517357447"/>
  </r>
  <r>
    <x v="82"/>
    <x v="74"/>
    <n v="14"/>
    <x v="0"/>
    <s v="AB-"/>
    <x v="6"/>
    <x v="4"/>
    <x v="4"/>
    <n v="655"/>
    <n v="1752"/>
    <n v="6527"/>
    <n v="13437"/>
    <n v="22371"/>
    <x v="72"/>
    <x v="73"/>
    <x v="9"/>
    <s v="Insurance"/>
    <s v="Under Treatment"/>
    <n v="678"/>
    <s v="+91-8761628889"/>
  </r>
  <r>
    <x v="83"/>
    <x v="27"/>
    <n v="81"/>
    <x v="1"/>
    <s v="A+"/>
    <x v="3"/>
    <x v="1"/>
    <x v="1"/>
    <n v="439"/>
    <n v="4341"/>
    <n v="3922"/>
    <n v="11344"/>
    <n v="20046"/>
    <x v="73"/>
    <x v="74"/>
    <x v="6"/>
    <s v="Cash"/>
    <s v="Discharged"/>
    <n v="572"/>
    <s v="+91-7940955281"/>
  </r>
  <r>
    <x v="84"/>
    <x v="75"/>
    <n v="48"/>
    <x v="1"/>
    <s v="B-"/>
    <x v="4"/>
    <x v="1"/>
    <x v="6"/>
    <n v="1338"/>
    <n v="3649"/>
    <n v="4090"/>
    <n v="10508"/>
    <n v="19585"/>
    <x v="74"/>
    <x v="75"/>
    <x v="4"/>
    <s v="Insurance"/>
    <s v="Under Treatment"/>
    <n v="254"/>
    <s v="+91-6265745534"/>
  </r>
  <r>
    <x v="85"/>
    <x v="76"/>
    <n v="44"/>
    <x v="0"/>
    <s v="O-"/>
    <x v="3"/>
    <x v="1"/>
    <x v="12"/>
    <n v="807"/>
    <n v="4086"/>
    <n v="3899"/>
    <n v="9586"/>
    <n v="18378"/>
    <x v="75"/>
    <x v="76"/>
    <x v="9"/>
    <s v="UPI"/>
    <s v="Discharged"/>
    <n v="518"/>
    <s v="+91-9326300928"/>
  </r>
  <r>
    <x v="86"/>
    <x v="77"/>
    <n v="7"/>
    <x v="1"/>
    <s v="O-"/>
    <x v="4"/>
    <x v="5"/>
    <x v="13"/>
    <n v="493"/>
    <n v="3666"/>
    <n v="2627"/>
    <n v="5128"/>
    <n v="11914"/>
    <x v="66"/>
    <x v="77"/>
    <x v="9"/>
    <s v="Card"/>
    <s v="Discharged"/>
    <n v="417"/>
    <s v="+91-8817733555"/>
  </r>
  <r>
    <x v="87"/>
    <x v="51"/>
    <n v="77"/>
    <x v="0"/>
    <s v="AB+"/>
    <x v="6"/>
    <x v="2"/>
    <x v="8"/>
    <n v="972"/>
    <n v="1546"/>
    <n v="5789"/>
    <n v="12515"/>
    <n v="20822"/>
    <x v="76"/>
    <x v="78"/>
    <x v="5"/>
    <s v="UPI"/>
    <s v="Admitted"/>
    <n v="471"/>
    <s v="+91-7326569692"/>
  </r>
  <r>
    <x v="88"/>
    <x v="78"/>
    <n v="44"/>
    <x v="1"/>
    <s v="A+"/>
    <x v="0"/>
    <x v="3"/>
    <x v="3"/>
    <n v="581"/>
    <n v="1769"/>
    <n v="932"/>
    <n v="5846"/>
    <n v="9128"/>
    <x v="3"/>
    <x v="79"/>
    <x v="3"/>
    <s v="UPI"/>
    <s v="Under Treatment"/>
    <n v="234"/>
    <s v="+91-8565153945"/>
  </r>
  <r>
    <x v="89"/>
    <x v="51"/>
    <n v="21"/>
    <x v="0"/>
    <s v="O+"/>
    <x v="3"/>
    <x v="6"/>
    <x v="1"/>
    <n v="389"/>
    <n v="3865"/>
    <n v="3284"/>
    <n v="12081"/>
    <n v="19619"/>
    <x v="77"/>
    <x v="80"/>
    <x v="6"/>
    <s v="Insurance"/>
    <s v="Admitted"/>
    <n v="646"/>
    <s v="+91-7027220866"/>
  </r>
  <r>
    <x v="90"/>
    <x v="79"/>
    <n v="25"/>
    <x v="1"/>
    <s v="B+"/>
    <x v="7"/>
    <x v="6"/>
    <x v="1"/>
    <n v="877"/>
    <n v="3628"/>
    <n v="4419"/>
    <n v="9641"/>
    <n v="18565"/>
    <x v="78"/>
    <x v="81"/>
    <x v="7"/>
    <s v="UPI"/>
    <s v="Admitted"/>
    <n v="756"/>
    <s v="+91-8064121137"/>
  </r>
  <r>
    <x v="91"/>
    <x v="80"/>
    <n v="14"/>
    <x v="0"/>
    <s v="B-"/>
    <x v="6"/>
    <x v="6"/>
    <x v="6"/>
    <n v="628"/>
    <n v="2734"/>
    <n v="3980"/>
    <n v="9410"/>
    <n v="16752"/>
    <x v="79"/>
    <x v="71"/>
    <x v="5"/>
    <s v="Insurance"/>
    <s v="Discharged"/>
    <n v="127"/>
    <s v="+91-7781968664"/>
  </r>
  <r>
    <x v="92"/>
    <x v="81"/>
    <n v="65"/>
    <x v="1"/>
    <s v="B+"/>
    <x v="0"/>
    <x v="0"/>
    <x v="8"/>
    <n v="467"/>
    <n v="3571"/>
    <n v="2139"/>
    <n v="1461"/>
    <n v="7638"/>
    <x v="80"/>
    <x v="82"/>
    <x v="8"/>
    <s v="Cash"/>
    <s v="Discharged"/>
    <n v="949"/>
    <s v="+91-8029178475"/>
  </r>
  <r>
    <x v="93"/>
    <x v="40"/>
    <n v="58"/>
    <x v="0"/>
    <s v="AB+"/>
    <x v="4"/>
    <x v="5"/>
    <x v="5"/>
    <n v="824"/>
    <n v="2266"/>
    <n v="7140"/>
    <n v="3449"/>
    <n v="13679"/>
    <x v="81"/>
    <x v="49"/>
    <x v="3"/>
    <s v="UPI"/>
    <s v="Admitted"/>
    <n v="408"/>
    <s v="+91-6523334661"/>
  </r>
  <r>
    <x v="94"/>
    <x v="11"/>
    <n v="54"/>
    <x v="1"/>
    <s v="B+"/>
    <x v="4"/>
    <x v="1"/>
    <x v="11"/>
    <n v="1323"/>
    <n v="4891"/>
    <n v="434"/>
    <n v="11353"/>
    <n v="18001"/>
    <x v="82"/>
    <x v="83"/>
    <x v="7"/>
    <s v="Insurance"/>
    <s v="Admitted"/>
    <n v="729"/>
    <s v="+91-7515333350"/>
  </r>
  <r>
    <x v="95"/>
    <x v="82"/>
    <n v="54"/>
    <x v="0"/>
    <s v="AB+"/>
    <x v="4"/>
    <x v="6"/>
    <x v="2"/>
    <n v="438"/>
    <n v="4809"/>
    <n v="4757"/>
    <n v="9312"/>
    <n v="19316"/>
    <x v="83"/>
    <x v="84"/>
    <x v="0"/>
    <s v="Insurance"/>
    <s v="Admitted"/>
    <n v="750"/>
    <s v="+91-7661642599"/>
  </r>
  <r>
    <x v="96"/>
    <x v="83"/>
    <n v="3"/>
    <x v="1"/>
    <s v="O-"/>
    <x v="4"/>
    <x v="2"/>
    <x v="2"/>
    <n v="793"/>
    <n v="1349"/>
    <n v="6620"/>
    <n v="10533"/>
    <n v="19295"/>
    <x v="21"/>
    <x v="85"/>
    <x v="0"/>
    <s v="UPI"/>
    <s v="Under Treatment"/>
    <n v="279"/>
    <s v="+91-9566470640"/>
  </r>
  <r>
    <x v="97"/>
    <x v="84"/>
    <n v="81"/>
    <x v="0"/>
    <s v="O-"/>
    <x v="3"/>
    <x v="1"/>
    <x v="6"/>
    <n v="1237"/>
    <n v="802"/>
    <n v="2703"/>
    <n v="4302"/>
    <n v="9044"/>
    <x v="84"/>
    <x v="86"/>
    <x v="0"/>
    <s v="Insurance"/>
    <s v="Under Treatment"/>
    <n v="584"/>
    <s v="+91-7087974350"/>
  </r>
  <r>
    <x v="98"/>
    <x v="85"/>
    <n v="37"/>
    <x v="1"/>
    <s v="AB+"/>
    <x v="2"/>
    <x v="1"/>
    <x v="13"/>
    <n v="859"/>
    <n v="1519"/>
    <n v="6848"/>
    <n v="7029"/>
    <n v="16255"/>
    <x v="85"/>
    <x v="23"/>
    <x v="4"/>
    <s v="Card"/>
    <s v="Discharged"/>
    <n v="808"/>
    <s v="+91-8136846691"/>
  </r>
  <r>
    <x v="99"/>
    <x v="65"/>
    <n v="35"/>
    <x v="0"/>
    <s v="O-"/>
    <x v="5"/>
    <x v="3"/>
    <x v="6"/>
    <n v="1181"/>
    <n v="1978"/>
    <n v="4768"/>
    <n v="5813"/>
    <n v="13740"/>
    <x v="86"/>
    <x v="87"/>
    <x v="5"/>
    <s v="UPI"/>
    <s v="Discharged"/>
    <n v="556"/>
    <s v="+91-8588240189"/>
  </r>
  <r>
    <x v="100"/>
    <x v="58"/>
    <n v="57"/>
    <x v="1"/>
    <s v="O-"/>
    <x v="7"/>
    <x v="2"/>
    <x v="12"/>
    <n v="1022"/>
    <n v="4063"/>
    <n v="2549"/>
    <n v="11477"/>
    <n v="19111"/>
    <x v="87"/>
    <x v="73"/>
    <x v="1"/>
    <s v="Card"/>
    <s v="Admitted"/>
    <n v="246"/>
    <s v="+91-9645006924"/>
  </r>
  <r>
    <x v="101"/>
    <x v="86"/>
    <n v="5"/>
    <x v="0"/>
    <s v="AB-"/>
    <x v="4"/>
    <x v="1"/>
    <x v="3"/>
    <n v="1050"/>
    <n v="3466"/>
    <n v="3436"/>
    <n v="10293"/>
    <n v="18245"/>
    <x v="88"/>
    <x v="88"/>
    <x v="9"/>
    <s v="UPI"/>
    <s v="Discharged"/>
    <n v="881"/>
    <s v="+91-6330220406"/>
  </r>
  <r>
    <x v="102"/>
    <x v="87"/>
    <n v="68"/>
    <x v="1"/>
    <s v="AB+"/>
    <x v="5"/>
    <x v="2"/>
    <x v="13"/>
    <n v="870"/>
    <n v="2544"/>
    <n v="1229"/>
    <n v="1424"/>
    <n v="6067"/>
    <x v="89"/>
    <x v="89"/>
    <x v="3"/>
    <s v="Cash"/>
    <s v="Discharged"/>
    <n v="893"/>
    <s v="+91-7117936038"/>
  </r>
  <r>
    <x v="103"/>
    <x v="88"/>
    <n v="79"/>
    <x v="1"/>
    <s v="A-"/>
    <x v="7"/>
    <x v="6"/>
    <x v="4"/>
    <n v="551"/>
    <n v="1611"/>
    <n v="7286"/>
    <n v="2213"/>
    <n v="11661"/>
    <x v="90"/>
    <x v="90"/>
    <x v="4"/>
    <s v="UPI"/>
    <s v="Under Treatment"/>
    <n v="455"/>
    <s v="+91-9047453184"/>
  </r>
  <r>
    <x v="104"/>
    <x v="89"/>
    <n v="70"/>
    <x v="1"/>
    <s v="B-"/>
    <x v="6"/>
    <x v="6"/>
    <x v="7"/>
    <n v="656"/>
    <n v="3461"/>
    <n v="4467"/>
    <n v="4673"/>
    <n v="13257"/>
    <x v="91"/>
    <x v="86"/>
    <x v="9"/>
    <s v="Insurance"/>
    <s v="Admitted"/>
    <n v="469"/>
    <s v="+91-8379503963"/>
  </r>
  <r>
    <x v="105"/>
    <x v="90"/>
    <n v="60"/>
    <x v="0"/>
    <s v="AB+"/>
    <x v="4"/>
    <x v="6"/>
    <x v="6"/>
    <n v="933"/>
    <n v="3761"/>
    <n v="6173"/>
    <n v="12777"/>
    <n v="23644"/>
    <x v="92"/>
    <x v="78"/>
    <x v="1"/>
    <s v="Cash"/>
    <s v="Admitted"/>
    <n v="424"/>
    <s v="+91-8758823240"/>
  </r>
  <r>
    <x v="106"/>
    <x v="91"/>
    <n v="60"/>
    <x v="1"/>
    <s v="O+"/>
    <x v="3"/>
    <x v="0"/>
    <x v="7"/>
    <n v="564"/>
    <n v="4044"/>
    <n v="4419"/>
    <n v="1907"/>
    <n v="10934"/>
    <x v="93"/>
    <x v="28"/>
    <x v="9"/>
    <s v="Card"/>
    <s v="Discharged"/>
    <n v="826"/>
    <s v="+91-6968387506"/>
  </r>
  <r>
    <x v="107"/>
    <x v="65"/>
    <n v="37"/>
    <x v="0"/>
    <s v="A-"/>
    <x v="6"/>
    <x v="2"/>
    <x v="4"/>
    <n v="1428"/>
    <n v="2748"/>
    <n v="1325"/>
    <n v="11240"/>
    <n v="16741"/>
    <x v="73"/>
    <x v="91"/>
    <x v="3"/>
    <s v="Card"/>
    <s v="Under Treatment"/>
    <n v="694"/>
    <s v="+91-6662259333"/>
  </r>
  <r>
    <x v="108"/>
    <x v="92"/>
    <n v="78"/>
    <x v="1"/>
    <s v="AB+"/>
    <x v="2"/>
    <x v="2"/>
    <x v="5"/>
    <n v="466"/>
    <n v="872"/>
    <n v="5554"/>
    <n v="13632"/>
    <n v="20524"/>
    <x v="94"/>
    <x v="45"/>
    <x v="7"/>
    <s v="Cash"/>
    <s v="Discharged"/>
    <n v="742"/>
    <s v="+91-8343237444"/>
  </r>
  <r>
    <x v="109"/>
    <x v="93"/>
    <n v="62"/>
    <x v="0"/>
    <s v="AB-"/>
    <x v="5"/>
    <x v="4"/>
    <x v="9"/>
    <n v="1228"/>
    <n v="1097"/>
    <n v="5941"/>
    <n v="1981"/>
    <n v="10247"/>
    <x v="43"/>
    <x v="92"/>
    <x v="1"/>
    <s v="Card"/>
    <s v="Discharged"/>
    <n v="721"/>
    <s v="+91-6617052325"/>
  </r>
  <r>
    <x v="110"/>
    <x v="94"/>
    <n v="45"/>
    <x v="1"/>
    <s v="AB-"/>
    <x v="3"/>
    <x v="0"/>
    <x v="2"/>
    <n v="1354"/>
    <n v="1369"/>
    <n v="2914"/>
    <n v="4960"/>
    <n v="10597"/>
    <x v="95"/>
    <x v="93"/>
    <x v="2"/>
    <s v="Card"/>
    <s v="Admitted"/>
    <n v="151"/>
    <s v="+91-7246451043"/>
  </r>
  <r>
    <x v="111"/>
    <x v="95"/>
    <n v="54"/>
    <x v="0"/>
    <s v="AB-"/>
    <x v="3"/>
    <x v="4"/>
    <x v="13"/>
    <n v="1483"/>
    <n v="3061"/>
    <n v="1855"/>
    <n v="13502"/>
    <n v="19901"/>
    <x v="1"/>
    <x v="89"/>
    <x v="3"/>
    <s v="UPI"/>
    <s v="Discharged"/>
    <n v="123"/>
    <s v="+91-6386757895"/>
  </r>
  <r>
    <x v="112"/>
    <x v="73"/>
    <n v="59"/>
    <x v="0"/>
    <s v="O+"/>
    <x v="0"/>
    <x v="2"/>
    <x v="2"/>
    <n v="399"/>
    <n v="914"/>
    <n v="2604"/>
    <n v="9108"/>
    <n v="13025"/>
    <x v="96"/>
    <x v="18"/>
    <x v="4"/>
    <s v="Cash"/>
    <s v="Admitted"/>
    <n v="541"/>
    <s v="+91-6575246182"/>
  </r>
  <r>
    <x v="113"/>
    <x v="96"/>
    <n v="52"/>
    <x v="1"/>
    <s v="AB-"/>
    <x v="2"/>
    <x v="6"/>
    <x v="8"/>
    <n v="404"/>
    <n v="2094"/>
    <n v="3269"/>
    <n v="10064"/>
    <n v="15831"/>
    <x v="97"/>
    <x v="94"/>
    <x v="1"/>
    <s v="UPI"/>
    <s v="Under Treatment"/>
    <n v="796"/>
    <s v="+91-8624410325"/>
  </r>
  <r>
    <x v="114"/>
    <x v="97"/>
    <n v="13"/>
    <x v="1"/>
    <s v="AB+"/>
    <x v="1"/>
    <x v="2"/>
    <x v="13"/>
    <n v="1442"/>
    <n v="3495"/>
    <n v="6484"/>
    <n v="3363"/>
    <n v="14784"/>
    <x v="98"/>
    <x v="77"/>
    <x v="3"/>
    <s v="Cash"/>
    <s v="Admitted"/>
    <n v="139"/>
    <s v="+91-6588566728"/>
  </r>
  <r>
    <x v="115"/>
    <x v="98"/>
    <n v="67"/>
    <x v="1"/>
    <s v="O-"/>
    <x v="3"/>
    <x v="2"/>
    <x v="0"/>
    <n v="971"/>
    <n v="3109"/>
    <n v="1631"/>
    <n v="7438"/>
    <n v="13149"/>
    <x v="99"/>
    <x v="95"/>
    <x v="6"/>
    <s v="Insurance"/>
    <s v="Under Treatment"/>
    <n v="676"/>
    <s v="+91-7287590685"/>
  </r>
  <r>
    <x v="116"/>
    <x v="60"/>
    <n v="48"/>
    <x v="1"/>
    <s v="AB-"/>
    <x v="4"/>
    <x v="1"/>
    <x v="14"/>
    <n v="1495"/>
    <n v="3020"/>
    <n v="6827"/>
    <n v="12883"/>
    <n v="24225"/>
    <x v="100"/>
    <x v="96"/>
    <x v="0"/>
    <s v="Card"/>
    <s v="Under Treatment"/>
    <n v="152"/>
    <s v="+91-8506213395"/>
  </r>
  <r>
    <x v="117"/>
    <x v="99"/>
    <n v="68"/>
    <x v="1"/>
    <s v="B+"/>
    <x v="3"/>
    <x v="4"/>
    <x v="3"/>
    <n v="364"/>
    <n v="1400"/>
    <n v="1862"/>
    <n v="1310"/>
    <n v="4936"/>
    <x v="57"/>
    <x v="97"/>
    <x v="1"/>
    <s v="Card"/>
    <s v="Discharged"/>
    <n v="613"/>
    <s v="+91-9328480679"/>
  </r>
  <r>
    <x v="118"/>
    <x v="43"/>
    <n v="8"/>
    <x v="0"/>
    <s v="O-"/>
    <x v="0"/>
    <x v="2"/>
    <x v="13"/>
    <n v="1279"/>
    <n v="4804"/>
    <n v="3386"/>
    <n v="6140"/>
    <n v="15609"/>
    <x v="101"/>
    <x v="36"/>
    <x v="3"/>
    <s v="UPI"/>
    <s v="Under Treatment"/>
    <n v="890"/>
    <s v="+91-9726547274"/>
  </r>
  <r>
    <x v="119"/>
    <x v="100"/>
    <n v="62"/>
    <x v="0"/>
    <s v="AB-"/>
    <x v="0"/>
    <x v="1"/>
    <x v="10"/>
    <n v="1442"/>
    <n v="2945"/>
    <n v="2142"/>
    <n v="5876"/>
    <n v="12405"/>
    <x v="97"/>
    <x v="98"/>
    <x v="7"/>
    <s v="Insurance"/>
    <s v="Discharged"/>
    <n v="673"/>
    <s v="+91-9416239981"/>
  </r>
  <r>
    <x v="120"/>
    <x v="101"/>
    <n v="16"/>
    <x v="1"/>
    <s v="O+"/>
    <x v="5"/>
    <x v="3"/>
    <x v="2"/>
    <n v="599"/>
    <n v="2879"/>
    <n v="644"/>
    <n v="5712"/>
    <n v="9834"/>
    <x v="102"/>
    <x v="99"/>
    <x v="4"/>
    <s v="Insurance"/>
    <s v="Admitted"/>
    <n v="306"/>
    <s v="+91-9556025499"/>
  </r>
  <r>
    <x v="121"/>
    <x v="6"/>
    <n v="72"/>
    <x v="1"/>
    <s v="A+"/>
    <x v="3"/>
    <x v="5"/>
    <x v="11"/>
    <n v="790"/>
    <n v="2486"/>
    <n v="715"/>
    <n v="11974"/>
    <n v="15965"/>
    <x v="103"/>
    <x v="100"/>
    <x v="7"/>
    <s v="Insurance"/>
    <s v="Discharged"/>
    <n v="834"/>
    <s v="+91-8028959334"/>
  </r>
  <r>
    <x v="122"/>
    <x v="97"/>
    <n v="1"/>
    <x v="0"/>
    <s v="A-"/>
    <x v="5"/>
    <x v="3"/>
    <x v="15"/>
    <n v="1277"/>
    <n v="2133"/>
    <n v="6492"/>
    <n v="5706"/>
    <n v="15608"/>
    <x v="86"/>
    <x v="101"/>
    <x v="0"/>
    <s v="Card"/>
    <s v="Under Treatment"/>
    <n v="856"/>
    <s v="+91-9105766766"/>
  </r>
  <r>
    <x v="123"/>
    <x v="102"/>
    <n v="54"/>
    <x v="0"/>
    <s v="O+"/>
    <x v="2"/>
    <x v="2"/>
    <x v="8"/>
    <n v="1314"/>
    <n v="2026"/>
    <n v="7972"/>
    <n v="13271"/>
    <n v="24583"/>
    <x v="104"/>
    <x v="102"/>
    <x v="0"/>
    <s v="Cash"/>
    <s v="Discharged"/>
    <n v="391"/>
    <s v="+91-7951414407"/>
  </r>
  <r>
    <x v="124"/>
    <x v="103"/>
    <n v="64"/>
    <x v="0"/>
    <s v="B+"/>
    <x v="7"/>
    <x v="5"/>
    <x v="10"/>
    <n v="694"/>
    <n v="1422"/>
    <n v="3008"/>
    <n v="3662"/>
    <n v="8786"/>
    <x v="105"/>
    <x v="103"/>
    <x v="2"/>
    <s v="UPI"/>
    <s v="Discharged"/>
    <n v="681"/>
    <s v="+91-8896530837"/>
  </r>
  <r>
    <x v="125"/>
    <x v="104"/>
    <n v="79"/>
    <x v="1"/>
    <s v="O-"/>
    <x v="5"/>
    <x v="0"/>
    <x v="13"/>
    <n v="477"/>
    <n v="3783"/>
    <n v="5782"/>
    <n v="2562"/>
    <n v="12604"/>
    <x v="106"/>
    <x v="59"/>
    <x v="4"/>
    <s v="Cash"/>
    <s v="Discharged"/>
    <n v="492"/>
    <s v="+91-7011556076"/>
  </r>
  <r>
    <x v="126"/>
    <x v="105"/>
    <n v="43"/>
    <x v="1"/>
    <s v="B+"/>
    <x v="2"/>
    <x v="4"/>
    <x v="10"/>
    <n v="1036"/>
    <n v="2435"/>
    <n v="808"/>
    <n v="11941"/>
    <n v="16220"/>
    <x v="107"/>
    <x v="104"/>
    <x v="2"/>
    <s v="UPI"/>
    <s v="Under Treatment"/>
    <n v="220"/>
    <s v="+91-8743244243"/>
  </r>
  <r>
    <x v="127"/>
    <x v="106"/>
    <n v="79"/>
    <x v="0"/>
    <s v="AB-"/>
    <x v="0"/>
    <x v="6"/>
    <x v="0"/>
    <n v="1279"/>
    <n v="1754"/>
    <n v="4027"/>
    <n v="13250"/>
    <n v="20310"/>
    <x v="108"/>
    <x v="105"/>
    <x v="1"/>
    <s v="Card"/>
    <s v="Admitted"/>
    <n v="796"/>
    <s v="+91-9241581669"/>
  </r>
  <r>
    <x v="128"/>
    <x v="107"/>
    <n v="68"/>
    <x v="1"/>
    <s v="B+"/>
    <x v="1"/>
    <x v="0"/>
    <x v="6"/>
    <n v="1455"/>
    <n v="1419"/>
    <n v="805"/>
    <n v="14578"/>
    <n v="18257"/>
    <x v="81"/>
    <x v="106"/>
    <x v="7"/>
    <s v="UPI"/>
    <s v="Under Treatment"/>
    <n v="552"/>
    <s v="+91-6499247083"/>
  </r>
  <r>
    <x v="129"/>
    <x v="108"/>
    <n v="63"/>
    <x v="0"/>
    <s v="AB-"/>
    <x v="7"/>
    <x v="3"/>
    <x v="12"/>
    <n v="1228"/>
    <n v="1580"/>
    <n v="4504"/>
    <n v="7806"/>
    <n v="15118"/>
    <x v="51"/>
    <x v="107"/>
    <x v="0"/>
    <s v="UPI"/>
    <s v="Under Treatment"/>
    <n v="122"/>
    <s v="+91-7700586760"/>
  </r>
  <r>
    <x v="130"/>
    <x v="109"/>
    <n v="28"/>
    <x v="0"/>
    <s v="O+"/>
    <x v="2"/>
    <x v="4"/>
    <x v="14"/>
    <n v="1005"/>
    <n v="1022"/>
    <n v="4733"/>
    <n v="1987"/>
    <n v="8747"/>
    <x v="109"/>
    <x v="108"/>
    <x v="0"/>
    <s v="Card"/>
    <s v="Admitted"/>
    <n v="884"/>
    <s v="+91-8755328890"/>
  </r>
  <r>
    <x v="131"/>
    <x v="110"/>
    <n v="49"/>
    <x v="1"/>
    <s v="AB+"/>
    <x v="5"/>
    <x v="2"/>
    <x v="8"/>
    <n v="464"/>
    <n v="4917"/>
    <n v="1389"/>
    <n v="11707"/>
    <n v="18477"/>
    <x v="110"/>
    <x v="109"/>
    <x v="9"/>
    <s v="Card"/>
    <s v="Under Treatment"/>
    <n v="328"/>
    <s v="+91-9585531525"/>
  </r>
  <r>
    <x v="132"/>
    <x v="111"/>
    <n v="39"/>
    <x v="1"/>
    <s v="A-"/>
    <x v="5"/>
    <x v="5"/>
    <x v="8"/>
    <n v="770"/>
    <n v="2527"/>
    <n v="4073"/>
    <n v="6671"/>
    <n v="14041"/>
    <x v="111"/>
    <x v="62"/>
    <x v="7"/>
    <s v="Insurance"/>
    <s v="Under Treatment"/>
    <n v="884"/>
    <s v="+91-9795705770"/>
  </r>
  <r>
    <x v="133"/>
    <x v="112"/>
    <n v="27"/>
    <x v="0"/>
    <s v="B-"/>
    <x v="4"/>
    <x v="2"/>
    <x v="12"/>
    <n v="1214"/>
    <n v="898"/>
    <n v="2304"/>
    <n v="13133"/>
    <n v="17549"/>
    <x v="84"/>
    <x v="110"/>
    <x v="4"/>
    <s v="Card"/>
    <s v="Admitted"/>
    <n v="243"/>
    <s v="+91-8164216179"/>
  </r>
  <r>
    <x v="134"/>
    <x v="9"/>
    <n v="74"/>
    <x v="1"/>
    <s v="O+"/>
    <x v="1"/>
    <x v="5"/>
    <x v="3"/>
    <n v="918"/>
    <n v="1673"/>
    <n v="5708"/>
    <n v="9540"/>
    <n v="17839"/>
    <x v="112"/>
    <x v="48"/>
    <x v="2"/>
    <s v="Card"/>
    <s v="Under Treatment"/>
    <n v="795"/>
    <s v="+91-7834812535"/>
  </r>
  <r>
    <x v="135"/>
    <x v="15"/>
    <n v="7"/>
    <x v="1"/>
    <s v="AB-"/>
    <x v="5"/>
    <x v="0"/>
    <x v="13"/>
    <n v="1152"/>
    <n v="3844"/>
    <n v="1522"/>
    <n v="5913"/>
    <n v="12431"/>
    <x v="113"/>
    <x v="111"/>
    <x v="3"/>
    <s v="Card"/>
    <s v="Discharged"/>
    <n v="978"/>
    <s v="+91-9039019230"/>
  </r>
  <r>
    <x v="136"/>
    <x v="113"/>
    <n v="8"/>
    <x v="1"/>
    <s v="AB-"/>
    <x v="5"/>
    <x v="6"/>
    <x v="0"/>
    <n v="1095"/>
    <n v="2489"/>
    <n v="2388"/>
    <n v="4331"/>
    <n v="10303"/>
    <x v="114"/>
    <x v="103"/>
    <x v="5"/>
    <s v="UPI"/>
    <s v="Admitted"/>
    <n v="648"/>
    <s v="+91-9112067620"/>
  </r>
  <r>
    <x v="137"/>
    <x v="114"/>
    <n v="35"/>
    <x v="1"/>
    <s v="B-"/>
    <x v="2"/>
    <x v="0"/>
    <x v="6"/>
    <n v="685"/>
    <n v="2277"/>
    <n v="4227"/>
    <n v="4422"/>
    <n v="11611"/>
    <x v="21"/>
    <x v="112"/>
    <x v="0"/>
    <s v="Cash"/>
    <s v="Under Treatment"/>
    <n v="872"/>
    <s v="+91-8056949493"/>
  </r>
  <r>
    <x v="138"/>
    <x v="115"/>
    <n v="27"/>
    <x v="1"/>
    <s v="O+"/>
    <x v="0"/>
    <x v="1"/>
    <x v="13"/>
    <n v="879"/>
    <n v="3618"/>
    <n v="4119"/>
    <n v="9743"/>
    <n v="18359"/>
    <x v="115"/>
    <x v="21"/>
    <x v="2"/>
    <s v="Insurance"/>
    <s v="Discharged"/>
    <n v="200"/>
    <s v="+91-9448071114"/>
  </r>
  <r>
    <x v="139"/>
    <x v="116"/>
    <n v="27"/>
    <x v="1"/>
    <s v="AB+"/>
    <x v="1"/>
    <x v="1"/>
    <x v="14"/>
    <n v="393"/>
    <n v="2312"/>
    <n v="6372"/>
    <n v="3390"/>
    <n v="12467"/>
    <x v="116"/>
    <x v="113"/>
    <x v="3"/>
    <s v="Card"/>
    <s v="Admitted"/>
    <n v="437"/>
    <s v="+91-6987922467"/>
  </r>
  <r>
    <x v="140"/>
    <x v="56"/>
    <n v="32"/>
    <x v="1"/>
    <s v="AB-"/>
    <x v="1"/>
    <x v="0"/>
    <x v="10"/>
    <n v="1300"/>
    <n v="4518"/>
    <n v="4075"/>
    <n v="3756"/>
    <n v="13649"/>
    <x v="117"/>
    <x v="114"/>
    <x v="9"/>
    <s v="Cash"/>
    <s v="Under Treatment"/>
    <n v="134"/>
    <s v="+91-9603771733"/>
  </r>
  <r>
    <x v="141"/>
    <x v="117"/>
    <n v="1"/>
    <x v="1"/>
    <s v="A+"/>
    <x v="3"/>
    <x v="2"/>
    <x v="3"/>
    <n v="439"/>
    <n v="1737"/>
    <n v="374"/>
    <n v="4583"/>
    <n v="7133"/>
    <x v="118"/>
    <x v="115"/>
    <x v="8"/>
    <s v="Insurance"/>
    <s v="Under Treatment"/>
    <n v="599"/>
    <s v="+91-6067567428"/>
  </r>
  <r>
    <x v="142"/>
    <x v="118"/>
    <n v="71"/>
    <x v="1"/>
    <s v="B+"/>
    <x v="2"/>
    <x v="5"/>
    <x v="5"/>
    <n v="1384"/>
    <n v="2750"/>
    <n v="4688"/>
    <n v="5697"/>
    <n v="14519"/>
    <x v="116"/>
    <x v="116"/>
    <x v="1"/>
    <s v="Cash"/>
    <s v="Under Treatment"/>
    <n v="252"/>
    <s v="+91-7034953269"/>
  </r>
  <r>
    <x v="143"/>
    <x v="119"/>
    <n v="68"/>
    <x v="1"/>
    <s v="B-"/>
    <x v="1"/>
    <x v="1"/>
    <x v="10"/>
    <n v="1112"/>
    <n v="1147"/>
    <n v="3356"/>
    <n v="7652"/>
    <n v="13267"/>
    <x v="70"/>
    <x v="117"/>
    <x v="7"/>
    <s v="Cash"/>
    <s v="Under Treatment"/>
    <n v="978"/>
    <s v="+91-8791275402"/>
  </r>
  <r>
    <x v="144"/>
    <x v="120"/>
    <n v="52"/>
    <x v="1"/>
    <s v="O-"/>
    <x v="5"/>
    <x v="2"/>
    <x v="15"/>
    <n v="414"/>
    <n v="577"/>
    <n v="6057"/>
    <n v="3807"/>
    <n v="10855"/>
    <x v="119"/>
    <x v="89"/>
    <x v="1"/>
    <s v="Cash"/>
    <s v="Under Treatment"/>
    <n v="143"/>
    <s v="+91-6986839603"/>
  </r>
  <r>
    <x v="145"/>
    <x v="108"/>
    <n v="61"/>
    <x v="1"/>
    <s v="A+"/>
    <x v="2"/>
    <x v="0"/>
    <x v="6"/>
    <n v="874"/>
    <n v="4948"/>
    <n v="4916"/>
    <n v="11782"/>
    <n v="22520"/>
    <x v="88"/>
    <x v="118"/>
    <x v="8"/>
    <s v="Card"/>
    <s v="Under Treatment"/>
    <n v="940"/>
    <s v="+91-7710668371"/>
  </r>
  <r>
    <x v="146"/>
    <x v="121"/>
    <n v="21"/>
    <x v="0"/>
    <s v="A+"/>
    <x v="5"/>
    <x v="5"/>
    <x v="13"/>
    <n v="1086"/>
    <n v="1646"/>
    <n v="6775"/>
    <n v="12293"/>
    <n v="21800"/>
    <x v="102"/>
    <x v="119"/>
    <x v="8"/>
    <s v="Insurance"/>
    <s v="Admitted"/>
    <n v="958"/>
    <s v="+91-6326495888"/>
  </r>
  <r>
    <x v="147"/>
    <x v="77"/>
    <n v="79"/>
    <x v="1"/>
    <s v="AB+"/>
    <x v="1"/>
    <x v="0"/>
    <x v="5"/>
    <n v="859"/>
    <n v="4190"/>
    <n v="4319"/>
    <n v="4737"/>
    <n v="14105"/>
    <x v="120"/>
    <x v="84"/>
    <x v="1"/>
    <s v="Insurance"/>
    <s v="Admitted"/>
    <n v="890"/>
    <s v="+91-8656935034"/>
  </r>
  <r>
    <x v="148"/>
    <x v="9"/>
    <n v="10"/>
    <x v="0"/>
    <s v="A-"/>
    <x v="6"/>
    <x v="5"/>
    <x v="0"/>
    <n v="1078"/>
    <n v="1763"/>
    <n v="6359"/>
    <n v="7383"/>
    <n v="16583"/>
    <x v="121"/>
    <x v="120"/>
    <x v="5"/>
    <s v="UPI"/>
    <s v="Discharged"/>
    <n v="468"/>
    <s v="+91-9269958296"/>
  </r>
  <r>
    <x v="149"/>
    <x v="122"/>
    <n v="17"/>
    <x v="0"/>
    <s v="A-"/>
    <x v="3"/>
    <x v="2"/>
    <x v="14"/>
    <n v="1219"/>
    <n v="4697"/>
    <n v="3642"/>
    <n v="2692"/>
    <n v="12250"/>
    <x v="122"/>
    <x v="121"/>
    <x v="8"/>
    <s v="UPI"/>
    <s v="Discharged"/>
    <n v="112"/>
    <s v="+91-7253474844"/>
  </r>
  <r>
    <x v="150"/>
    <x v="123"/>
    <n v="11"/>
    <x v="0"/>
    <s v="A-"/>
    <x v="3"/>
    <x v="0"/>
    <x v="8"/>
    <n v="647"/>
    <n v="1637"/>
    <n v="2502"/>
    <n v="5933"/>
    <n v="10719"/>
    <x v="46"/>
    <x v="122"/>
    <x v="9"/>
    <s v="Insurance"/>
    <s v="Discharged"/>
    <n v="531"/>
    <s v="+91-7287426116"/>
  </r>
  <r>
    <x v="151"/>
    <x v="124"/>
    <n v="47"/>
    <x v="1"/>
    <s v="O-"/>
    <x v="0"/>
    <x v="6"/>
    <x v="15"/>
    <n v="700"/>
    <n v="4250"/>
    <n v="1176"/>
    <n v="3219"/>
    <n v="9345"/>
    <x v="73"/>
    <x v="123"/>
    <x v="1"/>
    <s v="Insurance"/>
    <s v="Discharged"/>
    <n v="550"/>
    <s v="+91-7437681124"/>
  </r>
  <r>
    <x v="152"/>
    <x v="21"/>
    <n v="18"/>
    <x v="1"/>
    <s v="B-"/>
    <x v="1"/>
    <x v="1"/>
    <x v="4"/>
    <n v="1281"/>
    <n v="3073"/>
    <n v="1755"/>
    <n v="7524"/>
    <n v="13633"/>
    <x v="80"/>
    <x v="124"/>
    <x v="4"/>
    <s v="Insurance"/>
    <s v="Discharged"/>
    <n v="936"/>
    <s v="+91-9375271059"/>
  </r>
  <r>
    <x v="153"/>
    <x v="125"/>
    <n v="15"/>
    <x v="0"/>
    <s v="AB+"/>
    <x v="3"/>
    <x v="3"/>
    <x v="5"/>
    <n v="1245"/>
    <n v="2217"/>
    <n v="3891"/>
    <n v="14069"/>
    <n v="21422"/>
    <x v="123"/>
    <x v="125"/>
    <x v="5"/>
    <s v="Insurance"/>
    <s v="Admitted"/>
    <n v="748"/>
    <s v="+91-7300656317"/>
  </r>
  <r>
    <x v="154"/>
    <x v="30"/>
    <n v="85"/>
    <x v="0"/>
    <s v="AB+"/>
    <x v="5"/>
    <x v="2"/>
    <x v="8"/>
    <n v="451"/>
    <n v="4178"/>
    <n v="5198"/>
    <n v="8851"/>
    <n v="18678"/>
    <x v="124"/>
    <x v="110"/>
    <x v="3"/>
    <s v="Cash"/>
    <s v="Discharged"/>
    <n v="818"/>
    <s v="+91-9846149700"/>
  </r>
  <r>
    <x v="155"/>
    <x v="126"/>
    <n v="82"/>
    <x v="0"/>
    <s v="O-"/>
    <x v="4"/>
    <x v="6"/>
    <x v="3"/>
    <n v="1027"/>
    <n v="1862"/>
    <n v="5600"/>
    <n v="11038"/>
    <n v="19527"/>
    <x v="84"/>
    <x v="107"/>
    <x v="1"/>
    <s v="Insurance"/>
    <s v="Admitted"/>
    <n v="110"/>
    <s v="+91-6423511939"/>
  </r>
  <r>
    <x v="156"/>
    <x v="127"/>
    <n v="66"/>
    <x v="0"/>
    <s v="B+"/>
    <x v="7"/>
    <x v="1"/>
    <x v="2"/>
    <n v="1101"/>
    <n v="4293"/>
    <n v="6627"/>
    <n v="12133"/>
    <n v="24154"/>
    <x v="125"/>
    <x v="72"/>
    <x v="3"/>
    <s v="Cash"/>
    <s v="Discharged"/>
    <n v="207"/>
    <s v="+91-7268871731"/>
  </r>
  <r>
    <x v="157"/>
    <x v="128"/>
    <n v="15"/>
    <x v="0"/>
    <s v="AB-"/>
    <x v="1"/>
    <x v="5"/>
    <x v="9"/>
    <n v="1002"/>
    <n v="4230"/>
    <n v="6724"/>
    <n v="4389"/>
    <n v="16345"/>
    <x v="126"/>
    <x v="50"/>
    <x v="8"/>
    <s v="Insurance"/>
    <s v="Under Treatment"/>
    <n v="813"/>
    <s v="+91-7943245911"/>
  </r>
  <r>
    <x v="158"/>
    <x v="129"/>
    <n v="39"/>
    <x v="0"/>
    <s v="B+"/>
    <x v="4"/>
    <x v="2"/>
    <x v="5"/>
    <n v="1002"/>
    <n v="1395"/>
    <n v="5847"/>
    <n v="14108"/>
    <n v="22352"/>
    <x v="127"/>
    <x v="39"/>
    <x v="3"/>
    <s v="Card"/>
    <s v="Discharged"/>
    <n v="673"/>
    <s v="+91-7831242551"/>
  </r>
  <r>
    <x v="159"/>
    <x v="130"/>
    <n v="52"/>
    <x v="0"/>
    <s v="AB+"/>
    <x v="3"/>
    <x v="4"/>
    <x v="14"/>
    <n v="1110"/>
    <n v="739"/>
    <n v="6340"/>
    <n v="11061"/>
    <n v="19250"/>
    <x v="98"/>
    <x v="29"/>
    <x v="6"/>
    <s v="Cash"/>
    <s v="Under Treatment"/>
    <n v="319"/>
    <s v="+91-6883837629"/>
  </r>
  <r>
    <x v="160"/>
    <x v="131"/>
    <n v="74"/>
    <x v="0"/>
    <s v="O-"/>
    <x v="3"/>
    <x v="2"/>
    <x v="2"/>
    <n v="967"/>
    <n v="2114"/>
    <n v="4048"/>
    <n v="2867"/>
    <n v="9996"/>
    <x v="128"/>
    <x v="126"/>
    <x v="4"/>
    <s v="Insurance"/>
    <s v="Under Treatment"/>
    <n v="501"/>
    <s v="+91-8521166052"/>
  </r>
  <r>
    <x v="161"/>
    <x v="132"/>
    <n v="46"/>
    <x v="1"/>
    <s v="B+"/>
    <x v="3"/>
    <x v="1"/>
    <x v="9"/>
    <n v="473"/>
    <n v="1597"/>
    <n v="2865"/>
    <n v="2931"/>
    <n v="7866"/>
    <x v="129"/>
    <x v="127"/>
    <x v="5"/>
    <s v="Card"/>
    <s v="Under Treatment"/>
    <n v="497"/>
    <s v="+91-7796323275"/>
  </r>
  <r>
    <x v="162"/>
    <x v="133"/>
    <n v="74"/>
    <x v="1"/>
    <s v="AB-"/>
    <x v="5"/>
    <x v="1"/>
    <x v="7"/>
    <n v="1296"/>
    <n v="4902"/>
    <n v="5980"/>
    <n v="11571"/>
    <n v="23749"/>
    <x v="101"/>
    <x v="128"/>
    <x v="9"/>
    <s v="Card"/>
    <s v="Admitted"/>
    <n v="422"/>
    <s v="+91-9616298963"/>
  </r>
  <r>
    <x v="163"/>
    <x v="134"/>
    <n v="7"/>
    <x v="1"/>
    <s v="AB+"/>
    <x v="2"/>
    <x v="3"/>
    <x v="15"/>
    <n v="579"/>
    <n v="2098"/>
    <n v="6978"/>
    <n v="7290"/>
    <n v="16945"/>
    <x v="130"/>
    <x v="106"/>
    <x v="4"/>
    <s v="Insurance"/>
    <s v="Discharged"/>
    <n v="827"/>
    <s v="+91-9607307823"/>
  </r>
  <r>
    <x v="164"/>
    <x v="84"/>
    <n v="22"/>
    <x v="0"/>
    <s v="AB-"/>
    <x v="2"/>
    <x v="2"/>
    <x v="3"/>
    <n v="898"/>
    <n v="767"/>
    <n v="2551"/>
    <n v="4683"/>
    <n v="8899"/>
    <x v="24"/>
    <x v="129"/>
    <x v="9"/>
    <s v="Insurance"/>
    <s v="Under Treatment"/>
    <n v="623"/>
    <s v="+91-6486237535"/>
  </r>
  <r>
    <x v="165"/>
    <x v="135"/>
    <n v="35"/>
    <x v="1"/>
    <s v="A+"/>
    <x v="2"/>
    <x v="4"/>
    <x v="1"/>
    <n v="1418"/>
    <n v="2290"/>
    <n v="3782"/>
    <n v="2677"/>
    <n v="10167"/>
    <x v="131"/>
    <x v="130"/>
    <x v="2"/>
    <s v="UPI"/>
    <s v="Discharged"/>
    <n v="982"/>
    <s v="+91-9507822591"/>
  </r>
  <r>
    <x v="166"/>
    <x v="91"/>
    <n v="16"/>
    <x v="0"/>
    <s v="O-"/>
    <x v="0"/>
    <x v="2"/>
    <x v="2"/>
    <n v="1176"/>
    <n v="1859"/>
    <n v="5347"/>
    <n v="3281"/>
    <n v="11663"/>
    <x v="132"/>
    <x v="131"/>
    <x v="0"/>
    <s v="UPI"/>
    <s v="Under Treatment"/>
    <n v="651"/>
    <s v="+91-6723175276"/>
  </r>
  <r>
    <x v="167"/>
    <x v="136"/>
    <n v="38"/>
    <x v="1"/>
    <s v="B-"/>
    <x v="4"/>
    <x v="0"/>
    <x v="0"/>
    <n v="1142"/>
    <n v="985"/>
    <n v="2571"/>
    <n v="11746"/>
    <n v="16444"/>
    <x v="9"/>
    <x v="132"/>
    <x v="9"/>
    <s v="UPI"/>
    <s v="Admitted"/>
    <n v="879"/>
    <s v="+91-9623043944"/>
  </r>
  <r>
    <x v="168"/>
    <x v="28"/>
    <n v="19"/>
    <x v="1"/>
    <s v="O+"/>
    <x v="5"/>
    <x v="3"/>
    <x v="8"/>
    <n v="1225"/>
    <n v="1118"/>
    <n v="5490"/>
    <n v="14018"/>
    <n v="21851"/>
    <x v="133"/>
    <x v="133"/>
    <x v="3"/>
    <s v="UPI"/>
    <s v="Discharged"/>
    <n v="599"/>
    <s v="+91-7405696743"/>
  </r>
  <r>
    <x v="169"/>
    <x v="137"/>
    <n v="12"/>
    <x v="1"/>
    <s v="O-"/>
    <x v="1"/>
    <x v="6"/>
    <x v="6"/>
    <n v="1394"/>
    <n v="3758"/>
    <n v="2084"/>
    <n v="8039"/>
    <n v="15275"/>
    <x v="134"/>
    <x v="134"/>
    <x v="2"/>
    <s v="UPI"/>
    <s v="Discharged"/>
    <n v="660"/>
    <s v="+91-8482206102"/>
  </r>
  <r>
    <x v="170"/>
    <x v="138"/>
    <n v="63"/>
    <x v="1"/>
    <s v="A+"/>
    <x v="2"/>
    <x v="4"/>
    <x v="12"/>
    <n v="503"/>
    <n v="4264"/>
    <n v="433"/>
    <n v="3035"/>
    <n v="8235"/>
    <x v="43"/>
    <x v="92"/>
    <x v="4"/>
    <s v="Card"/>
    <s v="Under Treatment"/>
    <n v="235"/>
    <s v="+91-9788795778"/>
  </r>
  <r>
    <x v="171"/>
    <x v="139"/>
    <n v="36"/>
    <x v="0"/>
    <s v="O+"/>
    <x v="1"/>
    <x v="3"/>
    <x v="10"/>
    <n v="468"/>
    <n v="3546"/>
    <n v="5743"/>
    <n v="11631"/>
    <n v="21388"/>
    <x v="127"/>
    <x v="135"/>
    <x v="1"/>
    <s v="Card"/>
    <s v="Discharged"/>
    <n v="771"/>
    <s v="+91-6391697534"/>
  </r>
  <r>
    <x v="172"/>
    <x v="0"/>
    <n v="28"/>
    <x v="1"/>
    <s v="A-"/>
    <x v="4"/>
    <x v="6"/>
    <x v="0"/>
    <n v="763"/>
    <n v="4755"/>
    <n v="5870"/>
    <n v="8291"/>
    <n v="19679"/>
    <x v="135"/>
    <x v="17"/>
    <x v="8"/>
    <s v="Insurance"/>
    <s v="Under Treatment"/>
    <n v="235"/>
    <s v="+91-8051706927"/>
  </r>
  <r>
    <x v="173"/>
    <x v="140"/>
    <n v="50"/>
    <x v="0"/>
    <s v="B+"/>
    <x v="4"/>
    <x v="5"/>
    <x v="11"/>
    <n v="941"/>
    <n v="3511"/>
    <n v="7517"/>
    <n v="5902"/>
    <n v="17871"/>
    <x v="136"/>
    <x v="136"/>
    <x v="9"/>
    <s v="Cash"/>
    <s v="Under Treatment"/>
    <n v="765"/>
    <s v="+91-6704875220"/>
  </r>
  <r>
    <x v="174"/>
    <x v="141"/>
    <n v="28"/>
    <x v="0"/>
    <s v="AB+"/>
    <x v="5"/>
    <x v="1"/>
    <x v="1"/>
    <n v="744"/>
    <n v="1210"/>
    <n v="7644"/>
    <n v="2646"/>
    <n v="12244"/>
    <x v="137"/>
    <x v="2"/>
    <x v="6"/>
    <s v="Insurance"/>
    <s v="Discharged"/>
    <n v="910"/>
    <s v="+91-6600566083"/>
  </r>
  <r>
    <x v="175"/>
    <x v="30"/>
    <n v="83"/>
    <x v="0"/>
    <s v="AB+"/>
    <x v="0"/>
    <x v="1"/>
    <x v="9"/>
    <n v="354"/>
    <n v="2971"/>
    <n v="1983"/>
    <n v="9482"/>
    <n v="14790"/>
    <x v="108"/>
    <x v="137"/>
    <x v="7"/>
    <s v="Cash"/>
    <s v="Admitted"/>
    <n v="606"/>
    <s v="+91-7657365938"/>
  </r>
  <r>
    <x v="176"/>
    <x v="142"/>
    <n v="64"/>
    <x v="0"/>
    <s v="B+"/>
    <x v="2"/>
    <x v="6"/>
    <x v="2"/>
    <n v="948"/>
    <n v="1581"/>
    <n v="3468"/>
    <n v="14745"/>
    <n v="20742"/>
    <x v="138"/>
    <x v="25"/>
    <x v="8"/>
    <s v="Insurance"/>
    <s v="Admitted"/>
    <n v="117"/>
    <s v="+91-8522707023"/>
  </r>
  <r>
    <x v="177"/>
    <x v="143"/>
    <n v="34"/>
    <x v="0"/>
    <s v="AB+"/>
    <x v="2"/>
    <x v="3"/>
    <x v="12"/>
    <n v="1115"/>
    <n v="4650"/>
    <n v="2646"/>
    <n v="11298"/>
    <n v="19709"/>
    <x v="139"/>
    <x v="119"/>
    <x v="1"/>
    <s v="Insurance"/>
    <s v="Admitted"/>
    <n v="755"/>
    <s v="+91-8304528350"/>
  </r>
  <r>
    <x v="178"/>
    <x v="126"/>
    <n v="20"/>
    <x v="1"/>
    <s v="AB+"/>
    <x v="4"/>
    <x v="2"/>
    <x v="9"/>
    <n v="461"/>
    <n v="4688"/>
    <n v="7844"/>
    <n v="4329"/>
    <n v="17322"/>
    <x v="111"/>
    <x v="138"/>
    <x v="8"/>
    <s v="Cash"/>
    <s v="Discharged"/>
    <n v="815"/>
    <s v="+91-7878988236"/>
  </r>
  <r>
    <x v="179"/>
    <x v="144"/>
    <n v="32"/>
    <x v="0"/>
    <s v="A+"/>
    <x v="5"/>
    <x v="3"/>
    <x v="11"/>
    <n v="1228"/>
    <n v="950"/>
    <n v="2833"/>
    <n v="11913"/>
    <n v="16924"/>
    <x v="66"/>
    <x v="139"/>
    <x v="5"/>
    <s v="Card"/>
    <s v="Under Treatment"/>
    <n v="111"/>
    <s v="+91-6703655804"/>
  </r>
  <r>
    <x v="180"/>
    <x v="145"/>
    <n v="67"/>
    <x v="1"/>
    <s v="O+"/>
    <x v="3"/>
    <x v="2"/>
    <x v="2"/>
    <n v="559"/>
    <n v="2701"/>
    <n v="6304"/>
    <n v="2934"/>
    <n v="12498"/>
    <x v="140"/>
    <x v="140"/>
    <x v="1"/>
    <s v="Cash"/>
    <s v="Discharged"/>
    <n v="829"/>
    <s v="+91-8476700066"/>
  </r>
  <r>
    <x v="181"/>
    <x v="146"/>
    <n v="59"/>
    <x v="1"/>
    <s v="A-"/>
    <x v="2"/>
    <x v="0"/>
    <x v="15"/>
    <n v="1460"/>
    <n v="1867"/>
    <n v="3312"/>
    <n v="3577"/>
    <n v="10216"/>
    <x v="141"/>
    <x v="87"/>
    <x v="6"/>
    <s v="Cash"/>
    <s v="Admitted"/>
    <n v="979"/>
    <s v="+91-9706249669"/>
  </r>
  <r>
    <x v="182"/>
    <x v="112"/>
    <n v="6"/>
    <x v="1"/>
    <s v="B-"/>
    <x v="1"/>
    <x v="1"/>
    <x v="8"/>
    <n v="607"/>
    <n v="1966"/>
    <n v="7928"/>
    <n v="1579"/>
    <n v="12080"/>
    <x v="74"/>
    <x v="141"/>
    <x v="1"/>
    <s v="Card"/>
    <s v="Discharged"/>
    <n v="837"/>
    <s v="+91-7374110948"/>
  </r>
  <r>
    <x v="183"/>
    <x v="131"/>
    <n v="74"/>
    <x v="1"/>
    <s v="AB-"/>
    <x v="4"/>
    <x v="6"/>
    <x v="12"/>
    <n v="667"/>
    <n v="2328"/>
    <n v="6889"/>
    <n v="9450"/>
    <n v="19334"/>
    <x v="142"/>
    <x v="110"/>
    <x v="5"/>
    <s v="UPI"/>
    <s v="Discharged"/>
    <n v="435"/>
    <s v="+91-6371022983"/>
  </r>
  <r>
    <x v="184"/>
    <x v="147"/>
    <n v="2"/>
    <x v="1"/>
    <s v="AB-"/>
    <x v="0"/>
    <x v="6"/>
    <x v="9"/>
    <n v="1454"/>
    <n v="2989"/>
    <n v="6358"/>
    <n v="11202"/>
    <n v="22003"/>
    <x v="37"/>
    <x v="37"/>
    <x v="8"/>
    <s v="Card"/>
    <s v="Under Treatment"/>
    <n v="659"/>
    <s v="+91-9266246260"/>
  </r>
  <r>
    <x v="185"/>
    <x v="148"/>
    <n v="1"/>
    <x v="1"/>
    <s v="A+"/>
    <x v="2"/>
    <x v="6"/>
    <x v="3"/>
    <n v="1409"/>
    <n v="3337"/>
    <n v="5509"/>
    <n v="14755"/>
    <n v="25010"/>
    <x v="143"/>
    <x v="17"/>
    <x v="8"/>
    <s v="Insurance"/>
    <s v="Under Treatment"/>
    <n v="844"/>
    <s v="+91-7320748157"/>
  </r>
  <r>
    <x v="186"/>
    <x v="149"/>
    <n v="68"/>
    <x v="0"/>
    <s v="AB+"/>
    <x v="5"/>
    <x v="3"/>
    <x v="15"/>
    <n v="422"/>
    <n v="1666"/>
    <n v="6129"/>
    <n v="5584"/>
    <n v="13801"/>
    <x v="133"/>
    <x v="142"/>
    <x v="7"/>
    <s v="UPI"/>
    <s v="Discharged"/>
    <n v="865"/>
    <s v="+91-6364653118"/>
  </r>
  <r>
    <x v="187"/>
    <x v="135"/>
    <n v="65"/>
    <x v="0"/>
    <s v="O+"/>
    <x v="5"/>
    <x v="6"/>
    <x v="6"/>
    <n v="1462"/>
    <n v="1010"/>
    <n v="3863"/>
    <n v="11853"/>
    <n v="18188"/>
    <x v="144"/>
    <x v="143"/>
    <x v="2"/>
    <s v="UPI"/>
    <s v="Discharged"/>
    <n v="817"/>
    <s v="+91-9572982562"/>
  </r>
  <r>
    <x v="188"/>
    <x v="94"/>
    <n v="58"/>
    <x v="1"/>
    <s v="A-"/>
    <x v="0"/>
    <x v="0"/>
    <x v="6"/>
    <n v="715"/>
    <n v="1615"/>
    <n v="6689"/>
    <n v="13618"/>
    <n v="22637"/>
    <x v="30"/>
    <x v="24"/>
    <x v="9"/>
    <s v="Insurance"/>
    <s v="Discharged"/>
    <n v="421"/>
    <s v="+91-7745958114"/>
  </r>
  <r>
    <x v="189"/>
    <x v="150"/>
    <n v="46"/>
    <x v="0"/>
    <s v="A+"/>
    <x v="7"/>
    <x v="0"/>
    <x v="9"/>
    <n v="1248"/>
    <n v="2670"/>
    <n v="7283"/>
    <n v="2964"/>
    <n v="14165"/>
    <x v="6"/>
    <x v="144"/>
    <x v="2"/>
    <s v="UPI"/>
    <s v="Admitted"/>
    <n v="193"/>
    <s v="+91-9054397788"/>
  </r>
  <r>
    <x v="190"/>
    <x v="62"/>
    <n v="51"/>
    <x v="0"/>
    <s v="A-"/>
    <x v="6"/>
    <x v="4"/>
    <x v="10"/>
    <n v="656"/>
    <n v="754"/>
    <n v="3612"/>
    <n v="8408"/>
    <n v="13430"/>
    <x v="145"/>
    <x v="13"/>
    <x v="7"/>
    <s v="Cash"/>
    <s v="Admitted"/>
    <n v="224"/>
    <s v="+91-6051354601"/>
  </r>
  <r>
    <x v="191"/>
    <x v="11"/>
    <n v="17"/>
    <x v="0"/>
    <s v="B-"/>
    <x v="5"/>
    <x v="3"/>
    <x v="2"/>
    <n v="472"/>
    <n v="2620"/>
    <n v="7815"/>
    <n v="14316"/>
    <n v="25223"/>
    <x v="146"/>
    <x v="145"/>
    <x v="5"/>
    <s v="Insurance"/>
    <s v="Admitted"/>
    <n v="194"/>
    <s v="+91-9887280261"/>
  </r>
  <r>
    <x v="192"/>
    <x v="25"/>
    <n v="6"/>
    <x v="1"/>
    <s v="AB+"/>
    <x v="2"/>
    <x v="3"/>
    <x v="7"/>
    <n v="1475"/>
    <n v="4048"/>
    <n v="7031"/>
    <n v="12869"/>
    <n v="25423"/>
    <x v="147"/>
    <x v="146"/>
    <x v="0"/>
    <s v="Insurance"/>
    <s v="Admitted"/>
    <n v="462"/>
    <s v="+91-6922198636"/>
  </r>
  <r>
    <x v="193"/>
    <x v="151"/>
    <n v="36"/>
    <x v="1"/>
    <s v="A-"/>
    <x v="3"/>
    <x v="1"/>
    <x v="12"/>
    <n v="803"/>
    <n v="2917"/>
    <n v="4386"/>
    <n v="7750"/>
    <n v="15856"/>
    <x v="148"/>
    <x v="147"/>
    <x v="0"/>
    <s v="Insurance"/>
    <s v="Admitted"/>
    <n v="529"/>
    <s v="+91-6856664739"/>
  </r>
  <r>
    <x v="194"/>
    <x v="152"/>
    <n v="81"/>
    <x v="0"/>
    <s v="O-"/>
    <x v="5"/>
    <x v="4"/>
    <x v="2"/>
    <n v="1282"/>
    <n v="4960"/>
    <n v="6701"/>
    <n v="8940"/>
    <n v="21883"/>
    <x v="149"/>
    <x v="117"/>
    <x v="3"/>
    <s v="UPI"/>
    <s v="Admitted"/>
    <n v="126"/>
    <s v="+91-7369568735"/>
  </r>
  <r>
    <x v="195"/>
    <x v="153"/>
    <n v="4"/>
    <x v="1"/>
    <s v="B-"/>
    <x v="2"/>
    <x v="3"/>
    <x v="15"/>
    <n v="1384"/>
    <n v="3428"/>
    <n v="6581"/>
    <n v="10568"/>
    <n v="21961"/>
    <x v="44"/>
    <x v="148"/>
    <x v="5"/>
    <s v="Card"/>
    <s v="Discharged"/>
    <n v="646"/>
    <s v="+91-9505918051"/>
  </r>
  <r>
    <x v="196"/>
    <x v="11"/>
    <n v="74"/>
    <x v="1"/>
    <s v="A+"/>
    <x v="1"/>
    <x v="3"/>
    <x v="7"/>
    <n v="660"/>
    <n v="2437"/>
    <n v="5153"/>
    <n v="6210"/>
    <n v="14460"/>
    <x v="150"/>
    <x v="21"/>
    <x v="6"/>
    <s v="UPI"/>
    <s v="Under Treatment"/>
    <n v="677"/>
    <s v="+91-6610324690"/>
  </r>
  <r>
    <x v="197"/>
    <x v="63"/>
    <n v="64"/>
    <x v="1"/>
    <s v="AB-"/>
    <x v="3"/>
    <x v="5"/>
    <x v="15"/>
    <n v="377"/>
    <n v="1239"/>
    <n v="760"/>
    <n v="4811"/>
    <n v="7187"/>
    <x v="151"/>
    <x v="149"/>
    <x v="0"/>
    <s v="UPI"/>
    <s v="Under Treatment"/>
    <n v="306"/>
    <s v="+91-9463656690"/>
  </r>
  <r>
    <x v="198"/>
    <x v="154"/>
    <n v="23"/>
    <x v="1"/>
    <s v="O-"/>
    <x v="2"/>
    <x v="3"/>
    <x v="5"/>
    <n v="602"/>
    <n v="1660"/>
    <n v="6643"/>
    <n v="2817"/>
    <n v="11722"/>
    <x v="152"/>
    <x v="150"/>
    <x v="5"/>
    <s v="Insurance"/>
    <s v="Under Treatment"/>
    <n v="203"/>
    <s v="+91-7445518797"/>
  </r>
  <r>
    <x v="199"/>
    <x v="155"/>
    <n v="18"/>
    <x v="0"/>
    <s v="B-"/>
    <x v="5"/>
    <x v="3"/>
    <x v="15"/>
    <n v="949"/>
    <n v="1927"/>
    <n v="6093"/>
    <n v="10207"/>
    <n v="19176"/>
    <x v="143"/>
    <x v="91"/>
    <x v="8"/>
    <s v="Card"/>
    <s v="Discharged"/>
    <n v="414"/>
    <s v="+91-9152484405"/>
  </r>
  <r>
    <x v="200"/>
    <x v="156"/>
    <n v="23"/>
    <x v="0"/>
    <s v="A-"/>
    <x v="5"/>
    <x v="4"/>
    <x v="12"/>
    <n v="672"/>
    <n v="3106"/>
    <n v="7845"/>
    <n v="14251"/>
    <n v="25874"/>
    <x v="18"/>
    <x v="151"/>
    <x v="6"/>
    <s v="Card"/>
    <s v="Discharged"/>
    <n v="863"/>
    <s v="+91-6334176969"/>
  </r>
  <r>
    <x v="201"/>
    <x v="62"/>
    <n v="41"/>
    <x v="0"/>
    <s v="O-"/>
    <x v="4"/>
    <x v="1"/>
    <x v="13"/>
    <n v="1214"/>
    <n v="593"/>
    <n v="2472"/>
    <n v="4435"/>
    <n v="8714"/>
    <x v="153"/>
    <x v="125"/>
    <x v="5"/>
    <s v="Cash"/>
    <s v="Under Treatment"/>
    <n v="101"/>
    <s v="+91-6206791755"/>
  </r>
  <r>
    <x v="202"/>
    <x v="157"/>
    <n v="54"/>
    <x v="0"/>
    <s v="B-"/>
    <x v="5"/>
    <x v="0"/>
    <x v="15"/>
    <n v="1075"/>
    <n v="3377"/>
    <n v="4773"/>
    <n v="7149"/>
    <n v="16374"/>
    <x v="3"/>
    <x v="147"/>
    <x v="6"/>
    <s v="Insurance"/>
    <s v="Admitted"/>
    <n v="918"/>
    <s v="+91-9632522232"/>
  </r>
  <r>
    <x v="203"/>
    <x v="158"/>
    <n v="3"/>
    <x v="1"/>
    <s v="A-"/>
    <x v="6"/>
    <x v="1"/>
    <x v="11"/>
    <n v="451"/>
    <n v="3300"/>
    <n v="1693"/>
    <n v="7151"/>
    <n v="12595"/>
    <x v="47"/>
    <x v="73"/>
    <x v="3"/>
    <s v="Insurance"/>
    <s v="Under Treatment"/>
    <n v="131"/>
    <s v="+91-7852519609"/>
  </r>
  <r>
    <x v="204"/>
    <x v="92"/>
    <n v="56"/>
    <x v="0"/>
    <s v="O+"/>
    <x v="2"/>
    <x v="3"/>
    <x v="11"/>
    <n v="978"/>
    <n v="2183"/>
    <n v="1856"/>
    <n v="7705"/>
    <n v="12722"/>
    <x v="27"/>
    <x v="84"/>
    <x v="3"/>
    <s v="UPI"/>
    <s v="Discharged"/>
    <n v="343"/>
    <s v="+91-6411955771"/>
  </r>
  <r>
    <x v="205"/>
    <x v="81"/>
    <n v="74"/>
    <x v="1"/>
    <s v="AB-"/>
    <x v="3"/>
    <x v="0"/>
    <x v="12"/>
    <n v="1038"/>
    <n v="531"/>
    <n v="3802"/>
    <n v="2435"/>
    <n v="7806"/>
    <x v="154"/>
    <x v="152"/>
    <x v="6"/>
    <s v="Cash"/>
    <s v="Admitted"/>
    <n v="311"/>
    <s v="+91-6733718685"/>
  </r>
  <r>
    <x v="206"/>
    <x v="159"/>
    <n v="61"/>
    <x v="0"/>
    <s v="AB+"/>
    <x v="6"/>
    <x v="0"/>
    <x v="8"/>
    <n v="1264"/>
    <n v="4506"/>
    <n v="7630"/>
    <n v="11830"/>
    <n v="25230"/>
    <x v="155"/>
    <x v="61"/>
    <x v="3"/>
    <s v="UPI"/>
    <s v="Discharged"/>
    <n v="478"/>
    <s v="+91-6801367625"/>
  </r>
  <r>
    <x v="207"/>
    <x v="47"/>
    <n v="34"/>
    <x v="1"/>
    <s v="A-"/>
    <x v="7"/>
    <x v="3"/>
    <x v="10"/>
    <n v="763"/>
    <n v="2700"/>
    <n v="4922"/>
    <n v="2009"/>
    <n v="10394"/>
    <x v="156"/>
    <x v="31"/>
    <x v="5"/>
    <s v="UPI"/>
    <s v="Under Treatment"/>
    <n v="523"/>
    <s v="+91-9248957571"/>
  </r>
  <r>
    <x v="208"/>
    <x v="69"/>
    <n v="71"/>
    <x v="0"/>
    <s v="AB+"/>
    <x v="5"/>
    <x v="6"/>
    <x v="14"/>
    <n v="1396"/>
    <n v="4389"/>
    <n v="4991"/>
    <n v="4860"/>
    <n v="15636"/>
    <x v="28"/>
    <x v="95"/>
    <x v="5"/>
    <s v="Cash"/>
    <s v="Under Treatment"/>
    <n v="684"/>
    <s v="+91-9867425036"/>
  </r>
  <r>
    <x v="209"/>
    <x v="160"/>
    <n v="80"/>
    <x v="0"/>
    <s v="AB+"/>
    <x v="4"/>
    <x v="5"/>
    <x v="1"/>
    <n v="654"/>
    <n v="1869"/>
    <n v="2035"/>
    <n v="14245"/>
    <n v="18803"/>
    <x v="22"/>
    <x v="153"/>
    <x v="0"/>
    <s v="Insurance"/>
    <s v="Admitted"/>
    <n v="942"/>
    <s v="+91-8693916084"/>
  </r>
  <r>
    <x v="210"/>
    <x v="161"/>
    <n v="34"/>
    <x v="1"/>
    <s v="A+"/>
    <x v="4"/>
    <x v="6"/>
    <x v="6"/>
    <n v="1094"/>
    <n v="3755"/>
    <n v="4822"/>
    <n v="6343"/>
    <n v="16014"/>
    <x v="157"/>
    <x v="154"/>
    <x v="4"/>
    <s v="Insurance"/>
    <s v="Admitted"/>
    <n v="524"/>
    <s v="+91-6642708893"/>
  </r>
  <r>
    <x v="211"/>
    <x v="138"/>
    <n v="76"/>
    <x v="0"/>
    <s v="AB-"/>
    <x v="4"/>
    <x v="2"/>
    <x v="11"/>
    <n v="885"/>
    <n v="4887"/>
    <n v="7510"/>
    <n v="6633"/>
    <n v="19915"/>
    <x v="158"/>
    <x v="45"/>
    <x v="1"/>
    <s v="Insurance"/>
    <s v="Admitted"/>
    <n v="276"/>
    <s v="+91-7182894728"/>
  </r>
  <r>
    <x v="212"/>
    <x v="51"/>
    <n v="80"/>
    <x v="1"/>
    <s v="A+"/>
    <x v="2"/>
    <x v="1"/>
    <x v="8"/>
    <n v="978"/>
    <n v="2446"/>
    <n v="703"/>
    <n v="13218"/>
    <n v="17345"/>
    <x v="28"/>
    <x v="155"/>
    <x v="8"/>
    <s v="UPI"/>
    <s v="Discharged"/>
    <n v="387"/>
    <s v="+91-9619998445"/>
  </r>
  <r>
    <x v="213"/>
    <x v="162"/>
    <n v="30"/>
    <x v="0"/>
    <s v="B-"/>
    <x v="6"/>
    <x v="4"/>
    <x v="1"/>
    <n v="957"/>
    <n v="2707"/>
    <n v="6270"/>
    <n v="7828"/>
    <n v="17762"/>
    <x v="159"/>
    <x v="156"/>
    <x v="5"/>
    <s v="Card"/>
    <s v="Discharged"/>
    <n v="858"/>
    <s v="+91-8080741273"/>
  </r>
  <r>
    <x v="214"/>
    <x v="163"/>
    <n v="8"/>
    <x v="0"/>
    <s v="B+"/>
    <x v="4"/>
    <x v="0"/>
    <x v="9"/>
    <n v="1337"/>
    <n v="3804"/>
    <n v="1411"/>
    <n v="13787"/>
    <n v="20339"/>
    <x v="160"/>
    <x v="157"/>
    <x v="0"/>
    <s v="Card"/>
    <s v="Admitted"/>
    <n v="355"/>
    <s v="+91-6142039044"/>
  </r>
  <r>
    <x v="215"/>
    <x v="47"/>
    <n v="47"/>
    <x v="0"/>
    <s v="B-"/>
    <x v="6"/>
    <x v="1"/>
    <x v="2"/>
    <n v="1250"/>
    <n v="4637"/>
    <n v="3551"/>
    <n v="11410"/>
    <n v="20848"/>
    <x v="93"/>
    <x v="158"/>
    <x v="0"/>
    <s v="Insurance"/>
    <s v="Under Treatment"/>
    <n v="556"/>
    <s v="+91-6762716154"/>
  </r>
  <r>
    <x v="216"/>
    <x v="164"/>
    <n v="71"/>
    <x v="1"/>
    <s v="B-"/>
    <x v="1"/>
    <x v="6"/>
    <x v="7"/>
    <n v="829"/>
    <n v="1240"/>
    <n v="2635"/>
    <n v="1449"/>
    <n v="6153"/>
    <x v="161"/>
    <x v="56"/>
    <x v="9"/>
    <s v="Card"/>
    <s v="Under Treatment"/>
    <n v="330"/>
    <s v="+91-8910678913"/>
  </r>
  <r>
    <x v="217"/>
    <x v="4"/>
    <n v="84"/>
    <x v="1"/>
    <s v="O+"/>
    <x v="2"/>
    <x v="2"/>
    <x v="5"/>
    <n v="1270"/>
    <n v="1583"/>
    <n v="5603"/>
    <n v="3837"/>
    <n v="12293"/>
    <x v="162"/>
    <x v="17"/>
    <x v="7"/>
    <s v="UPI"/>
    <s v="Under Treatment"/>
    <n v="826"/>
    <s v="+91-8760548616"/>
  </r>
  <r>
    <x v="218"/>
    <x v="165"/>
    <n v="49"/>
    <x v="1"/>
    <s v="A-"/>
    <x v="7"/>
    <x v="5"/>
    <x v="10"/>
    <n v="746"/>
    <n v="4323"/>
    <n v="2775"/>
    <n v="12095"/>
    <n v="19939"/>
    <x v="126"/>
    <x v="159"/>
    <x v="1"/>
    <s v="UPI"/>
    <s v="Under Treatment"/>
    <n v="762"/>
    <s v="+91-8550233647"/>
  </r>
  <r>
    <x v="219"/>
    <x v="166"/>
    <n v="39"/>
    <x v="0"/>
    <s v="B-"/>
    <x v="7"/>
    <x v="0"/>
    <x v="6"/>
    <n v="988"/>
    <n v="2764"/>
    <n v="5547"/>
    <n v="6327"/>
    <n v="15626"/>
    <x v="157"/>
    <x v="113"/>
    <x v="2"/>
    <s v="Card"/>
    <s v="Admitted"/>
    <n v="924"/>
    <s v="+91-9682141408"/>
  </r>
  <r>
    <x v="220"/>
    <x v="167"/>
    <n v="85"/>
    <x v="1"/>
    <s v="B-"/>
    <x v="3"/>
    <x v="1"/>
    <x v="5"/>
    <n v="1318"/>
    <n v="2921"/>
    <n v="2425"/>
    <n v="7857"/>
    <n v="14521"/>
    <x v="163"/>
    <x v="160"/>
    <x v="0"/>
    <s v="Card"/>
    <s v="Under Treatment"/>
    <n v="647"/>
    <s v="+91-8741535989"/>
  </r>
  <r>
    <x v="221"/>
    <x v="145"/>
    <n v="65"/>
    <x v="1"/>
    <s v="O-"/>
    <x v="3"/>
    <x v="3"/>
    <x v="7"/>
    <n v="901"/>
    <n v="1299"/>
    <n v="4156"/>
    <n v="3096"/>
    <n v="9452"/>
    <x v="164"/>
    <x v="161"/>
    <x v="9"/>
    <s v="Cash"/>
    <s v="Admitted"/>
    <n v="463"/>
    <s v="+91-6959186138"/>
  </r>
  <r>
    <x v="222"/>
    <x v="168"/>
    <n v="43"/>
    <x v="1"/>
    <s v="A-"/>
    <x v="6"/>
    <x v="4"/>
    <x v="9"/>
    <n v="1249"/>
    <n v="1464"/>
    <n v="4154"/>
    <n v="1879"/>
    <n v="8746"/>
    <x v="64"/>
    <x v="162"/>
    <x v="6"/>
    <s v="Card"/>
    <s v="Under Treatment"/>
    <n v="222"/>
    <s v="+91-9725874491"/>
  </r>
  <r>
    <x v="223"/>
    <x v="73"/>
    <n v="39"/>
    <x v="1"/>
    <s v="O-"/>
    <x v="2"/>
    <x v="6"/>
    <x v="0"/>
    <n v="581"/>
    <n v="2140"/>
    <n v="3107"/>
    <n v="7704"/>
    <n v="13532"/>
    <x v="138"/>
    <x v="163"/>
    <x v="9"/>
    <s v="Card"/>
    <s v="Admitted"/>
    <n v="599"/>
    <s v="+91-7428632583"/>
  </r>
  <r>
    <x v="224"/>
    <x v="169"/>
    <n v="82"/>
    <x v="0"/>
    <s v="AB-"/>
    <x v="2"/>
    <x v="6"/>
    <x v="1"/>
    <n v="860"/>
    <n v="2215"/>
    <n v="6535"/>
    <n v="13673"/>
    <n v="23283"/>
    <x v="165"/>
    <x v="46"/>
    <x v="9"/>
    <s v="Cash"/>
    <s v="Admitted"/>
    <n v="729"/>
    <s v="+91-7862776335"/>
  </r>
  <r>
    <x v="225"/>
    <x v="123"/>
    <n v="55"/>
    <x v="1"/>
    <s v="B-"/>
    <x v="5"/>
    <x v="5"/>
    <x v="5"/>
    <n v="377"/>
    <n v="4872"/>
    <n v="1933"/>
    <n v="12971"/>
    <n v="20153"/>
    <x v="166"/>
    <x v="41"/>
    <x v="8"/>
    <s v="Cash"/>
    <s v="Under Treatment"/>
    <n v="851"/>
    <s v="+91-7068687175"/>
  </r>
  <r>
    <x v="226"/>
    <x v="62"/>
    <n v="40"/>
    <x v="0"/>
    <s v="AB-"/>
    <x v="4"/>
    <x v="3"/>
    <x v="8"/>
    <n v="1330"/>
    <n v="3007"/>
    <n v="1668"/>
    <n v="2069"/>
    <n v="8074"/>
    <x v="142"/>
    <x v="164"/>
    <x v="2"/>
    <s v="UPI"/>
    <s v="Discharged"/>
    <n v="803"/>
    <s v="+91-6574621243"/>
  </r>
  <r>
    <x v="227"/>
    <x v="98"/>
    <n v="46"/>
    <x v="0"/>
    <s v="B+"/>
    <x v="3"/>
    <x v="5"/>
    <x v="8"/>
    <n v="339"/>
    <n v="2371"/>
    <n v="2137"/>
    <n v="12913"/>
    <n v="17760"/>
    <x v="167"/>
    <x v="70"/>
    <x v="0"/>
    <s v="UPI"/>
    <s v="Under Treatment"/>
    <n v="766"/>
    <s v="+91-9402160254"/>
  </r>
  <r>
    <x v="228"/>
    <x v="81"/>
    <n v="82"/>
    <x v="1"/>
    <s v="AB+"/>
    <x v="2"/>
    <x v="5"/>
    <x v="12"/>
    <n v="521"/>
    <n v="661"/>
    <n v="695"/>
    <n v="12300"/>
    <n v="14177"/>
    <x v="60"/>
    <x v="165"/>
    <x v="4"/>
    <s v="UPI"/>
    <s v="Discharged"/>
    <n v="818"/>
    <s v="+91-6657675888"/>
  </r>
  <r>
    <x v="229"/>
    <x v="170"/>
    <n v="39"/>
    <x v="1"/>
    <s v="O+"/>
    <x v="4"/>
    <x v="5"/>
    <x v="10"/>
    <n v="580"/>
    <n v="3931"/>
    <n v="7104"/>
    <n v="2718"/>
    <n v="14333"/>
    <x v="168"/>
    <x v="166"/>
    <x v="5"/>
    <s v="Cash"/>
    <s v="Discharged"/>
    <n v="303"/>
    <s v="+91-8615642860"/>
  </r>
  <r>
    <x v="230"/>
    <x v="4"/>
    <n v="67"/>
    <x v="0"/>
    <s v="O-"/>
    <x v="1"/>
    <x v="0"/>
    <x v="14"/>
    <n v="904"/>
    <n v="1813"/>
    <n v="622"/>
    <n v="9980"/>
    <n v="13319"/>
    <x v="169"/>
    <x v="167"/>
    <x v="4"/>
    <s v="Cash"/>
    <s v="Admitted"/>
    <n v="787"/>
    <s v="+91-6382264279"/>
  </r>
  <r>
    <x v="231"/>
    <x v="171"/>
    <n v="64"/>
    <x v="0"/>
    <s v="AB-"/>
    <x v="4"/>
    <x v="5"/>
    <x v="6"/>
    <n v="507"/>
    <n v="2596"/>
    <n v="5578"/>
    <n v="4787"/>
    <n v="13468"/>
    <x v="51"/>
    <x v="58"/>
    <x v="2"/>
    <s v="Cash"/>
    <s v="Admitted"/>
    <n v="995"/>
    <s v="+91-6169412921"/>
  </r>
  <r>
    <x v="232"/>
    <x v="106"/>
    <n v="41"/>
    <x v="1"/>
    <s v="O-"/>
    <x v="4"/>
    <x v="1"/>
    <x v="11"/>
    <n v="393"/>
    <n v="579"/>
    <n v="7279"/>
    <n v="3267"/>
    <n v="11518"/>
    <x v="170"/>
    <x v="103"/>
    <x v="9"/>
    <s v="Insurance"/>
    <s v="Under Treatment"/>
    <n v="374"/>
    <s v="+91-9773023694"/>
  </r>
  <r>
    <x v="233"/>
    <x v="172"/>
    <n v="44"/>
    <x v="0"/>
    <s v="AB+"/>
    <x v="4"/>
    <x v="3"/>
    <x v="8"/>
    <n v="1119"/>
    <n v="4239"/>
    <n v="2526"/>
    <n v="14692"/>
    <n v="22576"/>
    <x v="161"/>
    <x v="72"/>
    <x v="4"/>
    <s v="Card"/>
    <s v="Admitted"/>
    <n v="235"/>
    <s v="+91-8990026838"/>
  </r>
  <r>
    <x v="234"/>
    <x v="102"/>
    <n v="14"/>
    <x v="1"/>
    <s v="AB-"/>
    <x v="7"/>
    <x v="4"/>
    <x v="1"/>
    <n v="671"/>
    <n v="3610"/>
    <n v="6682"/>
    <n v="6875"/>
    <n v="17838"/>
    <x v="18"/>
    <x v="168"/>
    <x v="9"/>
    <s v="Cash"/>
    <s v="Discharged"/>
    <n v="551"/>
    <s v="+91-6197449658"/>
  </r>
  <r>
    <x v="235"/>
    <x v="173"/>
    <n v="84"/>
    <x v="1"/>
    <s v="AB+"/>
    <x v="2"/>
    <x v="3"/>
    <x v="3"/>
    <n v="992"/>
    <n v="4752"/>
    <n v="4585"/>
    <n v="12276"/>
    <n v="22605"/>
    <x v="171"/>
    <x v="166"/>
    <x v="5"/>
    <s v="Card"/>
    <s v="Discharged"/>
    <n v="454"/>
    <s v="+91-8850615512"/>
  </r>
  <r>
    <x v="236"/>
    <x v="51"/>
    <n v="72"/>
    <x v="0"/>
    <s v="O-"/>
    <x v="2"/>
    <x v="0"/>
    <x v="7"/>
    <n v="1335"/>
    <n v="4344"/>
    <n v="7278"/>
    <n v="9123"/>
    <n v="22080"/>
    <x v="127"/>
    <x v="73"/>
    <x v="4"/>
    <s v="UPI"/>
    <s v="Discharged"/>
    <n v="151"/>
    <s v="+91-8177244907"/>
  </r>
  <r>
    <x v="237"/>
    <x v="174"/>
    <n v="83"/>
    <x v="1"/>
    <s v="AB-"/>
    <x v="5"/>
    <x v="4"/>
    <x v="3"/>
    <n v="461"/>
    <n v="4260"/>
    <n v="3938"/>
    <n v="14127"/>
    <n v="22786"/>
    <x v="172"/>
    <x v="169"/>
    <x v="5"/>
    <s v="UPI"/>
    <s v="Admitted"/>
    <n v="609"/>
    <s v="+91-9200776977"/>
  </r>
  <r>
    <x v="238"/>
    <x v="175"/>
    <n v="52"/>
    <x v="1"/>
    <s v="O-"/>
    <x v="2"/>
    <x v="1"/>
    <x v="5"/>
    <n v="486"/>
    <n v="2995"/>
    <n v="7591"/>
    <n v="9328"/>
    <n v="20400"/>
    <x v="130"/>
    <x v="131"/>
    <x v="4"/>
    <s v="Cash"/>
    <s v="Admitted"/>
    <n v="964"/>
    <s v="+91-7951890759"/>
  </r>
  <r>
    <x v="239"/>
    <x v="176"/>
    <n v="80"/>
    <x v="1"/>
    <s v="O-"/>
    <x v="1"/>
    <x v="6"/>
    <x v="1"/>
    <n v="533"/>
    <n v="1298"/>
    <n v="6520"/>
    <n v="11795"/>
    <n v="20146"/>
    <x v="112"/>
    <x v="170"/>
    <x v="8"/>
    <s v="UPI"/>
    <s v="Under Treatment"/>
    <n v="634"/>
    <s v="+91-7605846862"/>
  </r>
  <r>
    <x v="240"/>
    <x v="177"/>
    <n v="22"/>
    <x v="1"/>
    <s v="B-"/>
    <x v="3"/>
    <x v="4"/>
    <x v="14"/>
    <n v="519"/>
    <n v="2583"/>
    <n v="5304"/>
    <n v="4209"/>
    <n v="12615"/>
    <x v="173"/>
    <x v="40"/>
    <x v="1"/>
    <s v="Card"/>
    <s v="Under Treatment"/>
    <n v="446"/>
    <s v="+91-6462850341"/>
  </r>
  <r>
    <x v="241"/>
    <x v="178"/>
    <n v="82"/>
    <x v="0"/>
    <s v="AB+"/>
    <x v="7"/>
    <x v="6"/>
    <x v="1"/>
    <n v="1332"/>
    <n v="1602"/>
    <n v="4386"/>
    <n v="1071"/>
    <n v="8391"/>
    <x v="103"/>
    <x v="6"/>
    <x v="3"/>
    <s v="Insurance"/>
    <s v="Under Treatment"/>
    <n v="899"/>
    <s v="+91-9956361996"/>
  </r>
  <r>
    <x v="242"/>
    <x v="179"/>
    <n v="23"/>
    <x v="0"/>
    <s v="O+"/>
    <x v="4"/>
    <x v="4"/>
    <x v="8"/>
    <n v="959"/>
    <n v="4629"/>
    <n v="7520"/>
    <n v="7302"/>
    <n v="20410"/>
    <x v="78"/>
    <x v="49"/>
    <x v="7"/>
    <s v="UPI"/>
    <s v="Discharged"/>
    <n v="563"/>
    <s v="+91-9456576082"/>
  </r>
  <r>
    <x v="243"/>
    <x v="180"/>
    <n v="53"/>
    <x v="1"/>
    <s v="B+"/>
    <x v="1"/>
    <x v="3"/>
    <x v="4"/>
    <n v="711"/>
    <n v="2217"/>
    <n v="5413"/>
    <n v="12704"/>
    <n v="21045"/>
    <x v="104"/>
    <x v="19"/>
    <x v="8"/>
    <s v="Card"/>
    <s v="Under Treatment"/>
    <n v="655"/>
    <s v="+91-8982047218"/>
  </r>
  <r>
    <x v="244"/>
    <x v="25"/>
    <n v="46"/>
    <x v="1"/>
    <s v="A+"/>
    <x v="5"/>
    <x v="3"/>
    <x v="9"/>
    <n v="1165"/>
    <n v="604"/>
    <n v="4582"/>
    <n v="2744"/>
    <n v="9095"/>
    <x v="174"/>
    <x v="136"/>
    <x v="9"/>
    <s v="Cash"/>
    <s v="Admitted"/>
    <n v="373"/>
    <s v="+91-9222020108"/>
  </r>
  <r>
    <x v="245"/>
    <x v="181"/>
    <n v="33"/>
    <x v="0"/>
    <s v="B-"/>
    <x v="2"/>
    <x v="3"/>
    <x v="9"/>
    <n v="717"/>
    <n v="4933"/>
    <n v="564"/>
    <n v="6876"/>
    <n v="13090"/>
    <x v="90"/>
    <x v="87"/>
    <x v="6"/>
    <s v="Insurance"/>
    <s v="Admitted"/>
    <n v="623"/>
    <s v="+91-9368573654"/>
  </r>
  <r>
    <x v="246"/>
    <x v="182"/>
    <n v="49"/>
    <x v="1"/>
    <s v="AB-"/>
    <x v="5"/>
    <x v="6"/>
    <x v="13"/>
    <n v="1430"/>
    <n v="940"/>
    <n v="406"/>
    <n v="13184"/>
    <n v="15960"/>
    <x v="175"/>
    <x v="171"/>
    <x v="6"/>
    <s v="Card"/>
    <s v="Under Treatment"/>
    <n v="821"/>
    <s v="+91-9047474523"/>
  </r>
  <r>
    <x v="247"/>
    <x v="3"/>
    <n v="70"/>
    <x v="0"/>
    <s v="A-"/>
    <x v="0"/>
    <x v="4"/>
    <x v="9"/>
    <n v="1219"/>
    <n v="1953"/>
    <n v="5892"/>
    <n v="2220"/>
    <n v="11284"/>
    <x v="89"/>
    <x v="90"/>
    <x v="3"/>
    <s v="Cash"/>
    <s v="Discharged"/>
    <n v="385"/>
    <s v="+91-8390572890"/>
  </r>
  <r>
    <x v="248"/>
    <x v="183"/>
    <n v="21"/>
    <x v="1"/>
    <s v="O+"/>
    <x v="2"/>
    <x v="4"/>
    <x v="13"/>
    <n v="1255"/>
    <n v="1768"/>
    <n v="627"/>
    <n v="3518"/>
    <n v="7168"/>
    <x v="176"/>
    <x v="172"/>
    <x v="0"/>
    <s v="UPI"/>
    <s v="Admitted"/>
    <n v="902"/>
    <s v="+91-9039469163"/>
  </r>
  <r>
    <x v="249"/>
    <x v="184"/>
    <n v="29"/>
    <x v="0"/>
    <s v="B-"/>
    <x v="4"/>
    <x v="3"/>
    <x v="7"/>
    <n v="1151"/>
    <n v="4948"/>
    <n v="4699"/>
    <n v="7609"/>
    <n v="18407"/>
    <x v="133"/>
    <x v="173"/>
    <x v="7"/>
    <s v="UPI"/>
    <s v="Discharged"/>
    <n v="469"/>
    <s v="+91-7260892281"/>
  </r>
  <r>
    <x v="250"/>
    <x v="119"/>
    <n v="68"/>
    <x v="1"/>
    <s v="A+"/>
    <x v="2"/>
    <x v="3"/>
    <x v="11"/>
    <n v="1008"/>
    <n v="4150"/>
    <n v="2268"/>
    <n v="11522"/>
    <n v="18948"/>
    <x v="177"/>
    <x v="174"/>
    <x v="7"/>
    <s v="UPI"/>
    <s v="Discharged"/>
    <n v="915"/>
    <s v="+91-6486937758"/>
  </r>
  <r>
    <x v="251"/>
    <x v="34"/>
    <n v="70"/>
    <x v="1"/>
    <s v="O-"/>
    <x v="2"/>
    <x v="2"/>
    <x v="2"/>
    <n v="1353"/>
    <n v="4667"/>
    <n v="3950"/>
    <n v="8975"/>
    <n v="18945"/>
    <x v="84"/>
    <x v="58"/>
    <x v="7"/>
    <s v="Cash"/>
    <s v="Admitted"/>
    <n v="271"/>
    <s v="+91-9321377743"/>
  </r>
  <r>
    <x v="252"/>
    <x v="185"/>
    <n v="1"/>
    <x v="0"/>
    <s v="B+"/>
    <x v="0"/>
    <x v="5"/>
    <x v="4"/>
    <n v="1168"/>
    <n v="1351"/>
    <n v="1984"/>
    <n v="9810"/>
    <n v="14313"/>
    <x v="178"/>
    <x v="175"/>
    <x v="5"/>
    <s v="Insurance"/>
    <s v="Under Treatment"/>
    <n v="439"/>
    <s v="+91-6162720486"/>
  </r>
  <r>
    <x v="253"/>
    <x v="186"/>
    <n v="7"/>
    <x v="0"/>
    <s v="AB+"/>
    <x v="6"/>
    <x v="4"/>
    <x v="6"/>
    <n v="1477"/>
    <n v="2364"/>
    <n v="7762"/>
    <n v="5237"/>
    <n v="16840"/>
    <x v="179"/>
    <x v="160"/>
    <x v="4"/>
    <s v="UPI"/>
    <s v="Admitted"/>
    <n v="498"/>
    <s v="+91-8891796055"/>
  </r>
  <r>
    <x v="254"/>
    <x v="150"/>
    <n v="1"/>
    <x v="0"/>
    <s v="A-"/>
    <x v="2"/>
    <x v="1"/>
    <x v="6"/>
    <n v="1032"/>
    <n v="4619"/>
    <n v="1169"/>
    <n v="5748"/>
    <n v="12568"/>
    <x v="56"/>
    <x v="176"/>
    <x v="6"/>
    <s v="Insurance"/>
    <s v="Discharged"/>
    <n v="504"/>
    <s v="+91-9530988694"/>
  </r>
  <r>
    <x v="255"/>
    <x v="187"/>
    <n v="21"/>
    <x v="0"/>
    <s v="A+"/>
    <x v="3"/>
    <x v="2"/>
    <x v="8"/>
    <n v="1417"/>
    <n v="2916"/>
    <n v="5494"/>
    <n v="3360"/>
    <n v="13187"/>
    <x v="180"/>
    <x v="177"/>
    <x v="8"/>
    <s v="Card"/>
    <s v="Admitted"/>
    <n v="142"/>
    <s v="+91-6021602991"/>
  </r>
  <r>
    <x v="256"/>
    <x v="188"/>
    <n v="51"/>
    <x v="0"/>
    <s v="B+"/>
    <x v="6"/>
    <x v="0"/>
    <x v="4"/>
    <n v="1004"/>
    <n v="2234"/>
    <n v="3680"/>
    <n v="11582"/>
    <n v="18500"/>
    <x v="181"/>
    <x v="178"/>
    <x v="9"/>
    <s v="UPI"/>
    <s v="Admitted"/>
    <n v="217"/>
    <s v="+91-6778926596"/>
  </r>
  <r>
    <x v="257"/>
    <x v="41"/>
    <n v="71"/>
    <x v="1"/>
    <s v="O-"/>
    <x v="4"/>
    <x v="0"/>
    <x v="9"/>
    <n v="437"/>
    <n v="2553"/>
    <n v="1104"/>
    <n v="4234"/>
    <n v="8328"/>
    <x v="182"/>
    <x v="179"/>
    <x v="8"/>
    <s v="Card"/>
    <s v="Admitted"/>
    <n v="391"/>
    <s v="+91-8660800029"/>
  </r>
  <r>
    <x v="258"/>
    <x v="189"/>
    <n v="41"/>
    <x v="1"/>
    <s v="B+"/>
    <x v="7"/>
    <x v="5"/>
    <x v="13"/>
    <n v="926"/>
    <n v="1748"/>
    <n v="4933"/>
    <n v="10287"/>
    <n v="17894"/>
    <x v="183"/>
    <x v="180"/>
    <x v="1"/>
    <s v="UPI"/>
    <s v="Admitted"/>
    <n v="904"/>
    <s v="+91-6951445658"/>
  </r>
  <r>
    <x v="259"/>
    <x v="190"/>
    <n v="47"/>
    <x v="0"/>
    <s v="A-"/>
    <x v="1"/>
    <x v="0"/>
    <x v="15"/>
    <n v="1247"/>
    <n v="4148"/>
    <n v="3238"/>
    <n v="13693"/>
    <n v="22326"/>
    <x v="184"/>
    <x v="179"/>
    <x v="3"/>
    <s v="Cash"/>
    <s v="Discharged"/>
    <n v="979"/>
    <s v="+91-9549548567"/>
  </r>
  <r>
    <x v="260"/>
    <x v="191"/>
    <n v="26"/>
    <x v="1"/>
    <s v="B-"/>
    <x v="4"/>
    <x v="5"/>
    <x v="6"/>
    <n v="338"/>
    <n v="4654"/>
    <n v="5474"/>
    <n v="1511"/>
    <n v="11977"/>
    <x v="182"/>
    <x v="181"/>
    <x v="1"/>
    <s v="UPI"/>
    <s v="Under Treatment"/>
    <n v="652"/>
    <s v="+91-8027671011"/>
  </r>
  <r>
    <x v="261"/>
    <x v="192"/>
    <n v="51"/>
    <x v="0"/>
    <s v="A+"/>
    <x v="6"/>
    <x v="3"/>
    <x v="0"/>
    <n v="1251"/>
    <n v="4605"/>
    <n v="4481"/>
    <n v="2483"/>
    <n v="12820"/>
    <x v="185"/>
    <x v="150"/>
    <x v="3"/>
    <s v="Card"/>
    <s v="Under Treatment"/>
    <n v="800"/>
    <s v="+91-6712292620"/>
  </r>
  <r>
    <x v="262"/>
    <x v="193"/>
    <n v="58"/>
    <x v="0"/>
    <s v="O+"/>
    <x v="3"/>
    <x v="1"/>
    <x v="0"/>
    <n v="1290"/>
    <n v="3439"/>
    <n v="631"/>
    <n v="4585"/>
    <n v="9945"/>
    <x v="52"/>
    <x v="54"/>
    <x v="5"/>
    <s v="Card"/>
    <s v="Admitted"/>
    <n v="784"/>
    <s v="+91-6888087890"/>
  </r>
  <r>
    <x v="263"/>
    <x v="163"/>
    <n v="50"/>
    <x v="1"/>
    <s v="O+"/>
    <x v="7"/>
    <x v="2"/>
    <x v="12"/>
    <n v="381"/>
    <n v="3154"/>
    <n v="1145"/>
    <n v="12530"/>
    <n v="17210"/>
    <x v="126"/>
    <x v="182"/>
    <x v="2"/>
    <s v="Card"/>
    <s v="Discharged"/>
    <n v="769"/>
    <s v="+91-7625724671"/>
  </r>
  <r>
    <x v="264"/>
    <x v="3"/>
    <n v="84"/>
    <x v="0"/>
    <s v="A+"/>
    <x v="6"/>
    <x v="2"/>
    <x v="8"/>
    <n v="756"/>
    <n v="4730"/>
    <n v="3624"/>
    <n v="6781"/>
    <n v="15891"/>
    <x v="149"/>
    <x v="179"/>
    <x v="4"/>
    <s v="Card"/>
    <s v="Discharged"/>
    <n v="269"/>
    <s v="+91-6987802843"/>
  </r>
  <r>
    <x v="265"/>
    <x v="194"/>
    <n v="83"/>
    <x v="1"/>
    <s v="AB+"/>
    <x v="0"/>
    <x v="6"/>
    <x v="0"/>
    <n v="682"/>
    <n v="1789"/>
    <n v="3267"/>
    <n v="10863"/>
    <n v="16601"/>
    <x v="107"/>
    <x v="152"/>
    <x v="7"/>
    <s v="UPI"/>
    <s v="Under Treatment"/>
    <n v="216"/>
    <s v="+91-8068098256"/>
  </r>
  <r>
    <x v="266"/>
    <x v="195"/>
    <n v="27"/>
    <x v="0"/>
    <s v="A+"/>
    <x v="5"/>
    <x v="2"/>
    <x v="5"/>
    <n v="799"/>
    <n v="853"/>
    <n v="1347"/>
    <n v="10396"/>
    <n v="13395"/>
    <x v="186"/>
    <x v="81"/>
    <x v="9"/>
    <s v="Card"/>
    <s v="Admitted"/>
    <n v="270"/>
    <s v="+91-7109216714"/>
  </r>
  <r>
    <x v="267"/>
    <x v="196"/>
    <n v="52"/>
    <x v="0"/>
    <s v="AB+"/>
    <x v="6"/>
    <x v="2"/>
    <x v="6"/>
    <n v="743"/>
    <n v="4179"/>
    <n v="5268"/>
    <n v="8723"/>
    <n v="18913"/>
    <x v="58"/>
    <x v="183"/>
    <x v="7"/>
    <s v="Card"/>
    <s v="Under Treatment"/>
    <n v="940"/>
    <s v="+91-9296344958"/>
  </r>
  <r>
    <x v="268"/>
    <x v="92"/>
    <n v="85"/>
    <x v="1"/>
    <s v="A+"/>
    <x v="3"/>
    <x v="0"/>
    <x v="13"/>
    <n v="1228"/>
    <n v="1063"/>
    <n v="2182"/>
    <n v="7196"/>
    <n v="11669"/>
    <x v="161"/>
    <x v="184"/>
    <x v="5"/>
    <s v="Insurance"/>
    <s v="Admitted"/>
    <n v="720"/>
    <s v="+91-6413599241"/>
  </r>
  <r>
    <x v="269"/>
    <x v="36"/>
    <n v="79"/>
    <x v="0"/>
    <s v="AB+"/>
    <x v="4"/>
    <x v="1"/>
    <x v="6"/>
    <n v="1287"/>
    <n v="1567"/>
    <n v="7689"/>
    <n v="10887"/>
    <n v="21430"/>
    <x v="8"/>
    <x v="185"/>
    <x v="1"/>
    <s v="Cash"/>
    <s v="Under Treatment"/>
    <n v="642"/>
    <s v="+91-7842353139"/>
  </r>
  <r>
    <x v="270"/>
    <x v="37"/>
    <n v="49"/>
    <x v="1"/>
    <s v="AB+"/>
    <x v="4"/>
    <x v="1"/>
    <x v="14"/>
    <n v="574"/>
    <n v="2585"/>
    <n v="4208"/>
    <n v="13547"/>
    <n v="20914"/>
    <x v="44"/>
    <x v="186"/>
    <x v="2"/>
    <s v="Card"/>
    <s v="Admitted"/>
    <n v="826"/>
    <s v="+91-9193933871"/>
  </r>
  <r>
    <x v="271"/>
    <x v="197"/>
    <n v="67"/>
    <x v="0"/>
    <s v="O+"/>
    <x v="2"/>
    <x v="1"/>
    <x v="8"/>
    <n v="720"/>
    <n v="3087"/>
    <n v="3649"/>
    <n v="6935"/>
    <n v="14391"/>
    <x v="187"/>
    <x v="187"/>
    <x v="1"/>
    <s v="Insurance"/>
    <s v="Under Treatment"/>
    <n v="474"/>
    <s v="+91-8628007501"/>
  </r>
  <r>
    <x v="272"/>
    <x v="198"/>
    <n v="27"/>
    <x v="1"/>
    <s v="B+"/>
    <x v="7"/>
    <x v="6"/>
    <x v="7"/>
    <n v="1058"/>
    <n v="4462"/>
    <n v="2378"/>
    <n v="6024"/>
    <n v="13922"/>
    <x v="94"/>
    <x v="188"/>
    <x v="1"/>
    <s v="Cash"/>
    <s v="Under Treatment"/>
    <n v="335"/>
    <s v="+91-7918110391"/>
  </r>
  <r>
    <x v="273"/>
    <x v="199"/>
    <n v="28"/>
    <x v="1"/>
    <s v="AB+"/>
    <x v="1"/>
    <x v="5"/>
    <x v="12"/>
    <n v="629"/>
    <n v="3687"/>
    <n v="5509"/>
    <n v="1086"/>
    <n v="10911"/>
    <x v="6"/>
    <x v="189"/>
    <x v="4"/>
    <s v="Cash"/>
    <s v="Discharged"/>
    <n v="327"/>
    <s v="+91-7592724766"/>
  </r>
  <r>
    <x v="274"/>
    <x v="200"/>
    <n v="5"/>
    <x v="1"/>
    <s v="O+"/>
    <x v="5"/>
    <x v="0"/>
    <x v="9"/>
    <n v="417"/>
    <n v="1935"/>
    <n v="5545"/>
    <n v="9099"/>
    <n v="16996"/>
    <x v="188"/>
    <x v="190"/>
    <x v="7"/>
    <s v="Cash"/>
    <s v="Under Treatment"/>
    <n v="622"/>
    <s v="+91-8215402672"/>
  </r>
  <r>
    <x v="275"/>
    <x v="115"/>
    <n v="22"/>
    <x v="0"/>
    <s v="AB+"/>
    <x v="1"/>
    <x v="2"/>
    <x v="3"/>
    <n v="300"/>
    <n v="1789"/>
    <n v="1011"/>
    <n v="5520"/>
    <n v="8620"/>
    <x v="189"/>
    <x v="191"/>
    <x v="1"/>
    <s v="Card"/>
    <s v="Under Treatment"/>
    <n v="115"/>
    <s v="+91-9165071083"/>
  </r>
  <r>
    <x v="276"/>
    <x v="186"/>
    <n v="71"/>
    <x v="1"/>
    <s v="A+"/>
    <x v="1"/>
    <x v="1"/>
    <x v="2"/>
    <n v="866"/>
    <n v="2353"/>
    <n v="5267"/>
    <n v="4187"/>
    <n v="12673"/>
    <x v="62"/>
    <x v="133"/>
    <x v="6"/>
    <s v="Card"/>
    <s v="Discharged"/>
    <n v="618"/>
    <s v="+91-6457263513"/>
  </r>
  <r>
    <x v="277"/>
    <x v="201"/>
    <n v="65"/>
    <x v="1"/>
    <s v="AB+"/>
    <x v="1"/>
    <x v="2"/>
    <x v="11"/>
    <n v="1351"/>
    <n v="2611"/>
    <n v="7477"/>
    <n v="9813"/>
    <n v="21252"/>
    <x v="190"/>
    <x v="55"/>
    <x v="4"/>
    <s v="Insurance"/>
    <s v="Admitted"/>
    <n v="875"/>
    <s v="+91-7458831845"/>
  </r>
  <r>
    <x v="278"/>
    <x v="202"/>
    <n v="76"/>
    <x v="0"/>
    <s v="O-"/>
    <x v="7"/>
    <x v="4"/>
    <x v="11"/>
    <n v="828"/>
    <n v="1053"/>
    <n v="3434"/>
    <n v="11381"/>
    <n v="16696"/>
    <x v="191"/>
    <x v="177"/>
    <x v="7"/>
    <s v="UPI"/>
    <s v="Under Treatment"/>
    <n v="648"/>
    <s v="+91-6041760776"/>
  </r>
  <r>
    <x v="279"/>
    <x v="127"/>
    <n v="37"/>
    <x v="0"/>
    <s v="O+"/>
    <x v="5"/>
    <x v="0"/>
    <x v="13"/>
    <n v="455"/>
    <n v="1962"/>
    <n v="4203"/>
    <n v="6142"/>
    <n v="12762"/>
    <x v="192"/>
    <x v="192"/>
    <x v="6"/>
    <s v="Card"/>
    <s v="Discharged"/>
    <n v="854"/>
    <s v="+91-6857561275"/>
  </r>
  <r>
    <x v="280"/>
    <x v="203"/>
    <n v="34"/>
    <x v="0"/>
    <s v="AB-"/>
    <x v="0"/>
    <x v="2"/>
    <x v="4"/>
    <n v="811"/>
    <n v="3416"/>
    <n v="1577"/>
    <n v="13762"/>
    <n v="19566"/>
    <x v="187"/>
    <x v="40"/>
    <x v="5"/>
    <s v="Cash"/>
    <s v="Under Treatment"/>
    <n v="143"/>
    <s v="+91-9642177784"/>
  </r>
  <r>
    <x v="281"/>
    <x v="145"/>
    <n v="80"/>
    <x v="1"/>
    <s v="B+"/>
    <x v="7"/>
    <x v="5"/>
    <x v="10"/>
    <n v="1305"/>
    <n v="1998"/>
    <n v="6560"/>
    <n v="9374"/>
    <n v="19237"/>
    <x v="193"/>
    <x v="193"/>
    <x v="7"/>
    <s v="Insurance"/>
    <s v="Discharged"/>
    <n v="653"/>
    <s v="+91-6139855492"/>
  </r>
  <r>
    <x v="282"/>
    <x v="163"/>
    <n v="51"/>
    <x v="0"/>
    <s v="AB+"/>
    <x v="7"/>
    <x v="2"/>
    <x v="11"/>
    <n v="1361"/>
    <n v="4268"/>
    <n v="2885"/>
    <n v="12292"/>
    <n v="20806"/>
    <x v="135"/>
    <x v="194"/>
    <x v="7"/>
    <s v="Cash"/>
    <s v="Discharged"/>
    <n v="470"/>
    <s v="+91-8631861860"/>
  </r>
  <r>
    <x v="283"/>
    <x v="204"/>
    <n v="71"/>
    <x v="1"/>
    <s v="AB+"/>
    <x v="0"/>
    <x v="3"/>
    <x v="10"/>
    <n v="1265"/>
    <n v="3310"/>
    <n v="3297"/>
    <n v="4013"/>
    <n v="11885"/>
    <x v="5"/>
    <x v="195"/>
    <x v="7"/>
    <s v="UPI"/>
    <s v="Discharged"/>
    <n v="974"/>
    <s v="+91-7720532107"/>
  </r>
  <r>
    <x v="284"/>
    <x v="205"/>
    <n v="24"/>
    <x v="0"/>
    <s v="B+"/>
    <x v="0"/>
    <x v="4"/>
    <x v="11"/>
    <n v="852"/>
    <n v="2431"/>
    <n v="4849"/>
    <n v="8081"/>
    <n v="16213"/>
    <x v="194"/>
    <x v="196"/>
    <x v="9"/>
    <s v="Cash"/>
    <s v="Admitted"/>
    <n v="531"/>
    <s v="+91-8145756342"/>
  </r>
  <r>
    <x v="285"/>
    <x v="206"/>
    <n v="69"/>
    <x v="1"/>
    <s v="B-"/>
    <x v="7"/>
    <x v="6"/>
    <x v="9"/>
    <n v="813"/>
    <n v="890"/>
    <n v="3563"/>
    <n v="2621"/>
    <n v="7887"/>
    <x v="55"/>
    <x v="197"/>
    <x v="0"/>
    <s v="UPI"/>
    <s v="Discharged"/>
    <n v="959"/>
    <s v="+91-8705237613"/>
  </r>
  <r>
    <x v="286"/>
    <x v="207"/>
    <n v="43"/>
    <x v="1"/>
    <s v="B-"/>
    <x v="1"/>
    <x v="2"/>
    <x v="2"/>
    <n v="1447"/>
    <n v="2611"/>
    <n v="3119"/>
    <n v="1324"/>
    <n v="8501"/>
    <x v="158"/>
    <x v="93"/>
    <x v="8"/>
    <s v="Card"/>
    <s v="Discharged"/>
    <n v="463"/>
    <s v="+91-7396252148"/>
  </r>
  <r>
    <x v="287"/>
    <x v="208"/>
    <n v="58"/>
    <x v="0"/>
    <s v="AB+"/>
    <x v="5"/>
    <x v="6"/>
    <x v="9"/>
    <n v="1249"/>
    <n v="1686"/>
    <n v="7412"/>
    <n v="3745"/>
    <n v="14092"/>
    <x v="4"/>
    <x v="32"/>
    <x v="1"/>
    <s v="Cash"/>
    <s v="Admitted"/>
    <n v="265"/>
    <s v="+91-7475860255"/>
  </r>
  <r>
    <x v="288"/>
    <x v="209"/>
    <n v="41"/>
    <x v="1"/>
    <s v="AB+"/>
    <x v="6"/>
    <x v="0"/>
    <x v="8"/>
    <n v="855"/>
    <n v="4144"/>
    <n v="6697"/>
    <n v="6950"/>
    <n v="18646"/>
    <x v="195"/>
    <x v="154"/>
    <x v="4"/>
    <s v="Card"/>
    <s v="Admitted"/>
    <n v="228"/>
    <s v="+91-9125758723"/>
  </r>
  <r>
    <x v="289"/>
    <x v="30"/>
    <n v="11"/>
    <x v="0"/>
    <s v="AB+"/>
    <x v="3"/>
    <x v="2"/>
    <x v="8"/>
    <n v="510"/>
    <n v="1282"/>
    <n v="822"/>
    <n v="8752"/>
    <n v="11366"/>
    <x v="81"/>
    <x v="198"/>
    <x v="0"/>
    <s v="Cash"/>
    <s v="Admitted"/>
    <n v="368"/>
    <s v="+91-8654728627"/>
  </r>
  <r>
    <x v="290"/>
    <x v="210"/>
    <n v="84"/>
    <x v="1"/>
    <s v="B+"/>
    <x v="6"/>
    <x v="5"/>
    <x v="3"/>
    <n v="806"/>
    <n v="2827"/>
    <n v="3930"/>
    <n v="11264"/>
    <n v="18827"/>
    <x v="9"/>
    <x v="184"/>
    <x v="3"/>
    <s v="Cash"/>
    <s v="Under Treatment"/>
    <n v="465"/>
    <s v="+91-9695255926"/>
  </r>
  <r>
    <x v="291"/>
    <x v="98"/>
    <n v="60"/>
    <x v="1"/>
    <s v="AB+"/>
    <x v="7"/>
    <x v="2"/>
    <x v="0"/>
    <n v="1404"/>
    <n v="1950"/>
    <n v="5140"/>
    <n v="10790"/>
    <n v="19284"/>
    <x v="51"/>
    <x v="199"/>
    <x v="6"/>
    <s v="UPI"/>
    <s v="Discharged"/>
    <n v="593"/>
    <s v="+91-8317856944"/>
  </r>
  <r>
    <x v="292"/>
    <x v="211"/>
    <n v="57"/>
    <x v="1"/>
    <s v="O-"/>
    <x v="1"/>
    <x v="1"/>
    <x v="14"/>
    <n v="832"/>
    <n v="1775"/>
    <n v="2786"/>
    <n v="1172"/>
    <n v="6565"/>
    <x v="196"/>
    <x v="200"/>
    <x v="9"/>
    <s v="Insurance"/>
    <s v="Under Treatment"/>
    <n v="108"/>
    <s v="+91-8953949477"/>
  </r>
  <r>
    <x v="293"/>
    <x v="195"/>
    <n v="39"/>
    <x v="0"/>
    <s v="AB+"/>
    <x v="5"/>
    <x v="4"/>
    <x v="9"/>
    <n v="773"/>
    <n v="559"/>
    <n v="4790"/>
    <n v="7121"/>
    <n v="13243"/>
    <x v="173"/>
    <x v="22"/>
    <x v="3"/>
    <s v="Card"/>
    <s v="Admitted"/>
    <n v="832"/>
    <s v="+91-9165897064"/>
  </r>
  <r>
    <x v="294"/>
    <x v="212"/>
    <n v="29"/>
    <x v="1"/>
    <s v="O+"/>
    <x v="4"/>
    <x v="3"/>
    <x v="14"/>
    <n v="790"/>
    <n v="4732"/>
    <n v="6563"/>
    <n v="14106"/>
    <n v="26191"/>
    <x v="18"/>
    <x v="201"/>
    <x v="2"/>
    <s v="UPI"/>
    <s v="Discharged"/>
    <n v="292"/>
    <s v="+91-9665677395"/>
  </r>
  <r>
    <x v="295"/>
    <x v="213"/>
    <n v="18"/>
    <x v="1"/>
    <s v="A+"/>
    <x v="4"/>
    <x v="0"/>
    <x v="1"/>
    <n v="1227"/>
    <n v="2729"/>
    <n v="6038"/>
    <n v="11203"/>
    <n v="21197"/>
    <x v="197"/>
    <x v="202"/>
    <x v="8"/>
    <s v="Cash"/>
    <s v="Under Treatment"/>
    <n v="122"/>
    <s v="+91-6798595882"/>
  </r>
  <r>
    <x v="296"/>
    <x v="214"/>
    <n v="35"/>
    <x v="0"/>
    <s v="AB+"/>
    <x v="7"/>
    <x v="1"/>
    <x v="5"/>
    <n v="776"/>
    <n v="1238"/>
    <n v="1534"/>
    <n v="1241"/>
    <n v="4789"/>
    <x v="198"/>
    <x v="192"/>
    <x v="8"/>
    <s v="Insurance"/>
    <s v="Discharged"/>
    <n v="574"/>
    <s v="+91-8993312165"/>
  </r>
  <r>
    <x v="297"/>
    <x v="5"/>
    <n v="11"/>
    <x v="0"/>
    <s v="AB+"/>
    <x v="2"/>
    <x v="6"/>
    <x v="10"/>
    <n v="1103"/>
    <n v="1084"/>
    <n v="4749"/>
    <n v="8702"/>
    <n v="15638"/>
    <x v="199"/>
    <x v="203"/>
    <x v="2"/>
    <s v="Cash"/>
    <s v="Admitted"/>
    <n v="886"/>
    <s v="+91-9069538076"/>
  </r>
  <r>
    <x v="298"/>
    <x v="215"/>
    <n v="57"/>
    <x v="0"/>
    <s v="O+"/>
    <x v="2"/>
    <x v="1"/>
    <x v="4"/>
    <n v="1243"/>
    <n v="1269"/>
    <n v="4569"/>
    <n v="11911"/>
    <n v="18992"/>
    <x v="200"/>
    <x v="204"/>
    <x v="1"/>
    <s v="Card"/>
    <s v="Under Treatment"/>
    <n v="845"/>
    <s v="+91-6181187132"/>
  </r>
  <r>
    <x v="299"/>
    <x v="103"/>
    <n v="16"/>
    <x v="1"/>
    <s v="B-"/>
    <x v="7"/>
    <x v="3"/>
    <x v="9"/>
    <n v="706"/>
    <n v="3452"/>
    <n v="7570"/>
    <n v="1853"/>
    <n v="13581"/>
    <x v="201"/>
    <x v="192"/>
    <x v="5"/>
    <s v="Insurance"/>
    <s v="Discharged"/>
    <n v="115"/>
    <s v="+91-6718807242"/>
  </r>
  <r>
    <x v="300"/>
    <x v="216"/>
    <n v="16"/>
    <x v="1"/>
    <s v="B-"/>
    <x v="0"/>
    <x v="0"/>
    <x v="5"/>
    <n v="386"/>
    <n v="4393"/>
    <n v="5939"/>
    <n v="10768"/>
    <n v="21486"/>
    <x v="111"/>
    <x v="205"/>
    <x v="5"/>
    <s v="Insurance"/>
    <s v="Admitted"/>
    <n v="802"/>
    <s v="+91-8657059443"/>
  </r>
  <r>
    <x v="301"/>
    <x v="217"/>
    <n v="8"/>
    <x v="1"/>
    <s v="AB-"/>
    <x v="3"/>
    <x v="3"/>
    <x v="11"/>
    <n v="557"/>
    <n v="4496"/>
    <n v="2206"/>
    <n v="6189"/>
    <n v="13448"/>
    <x v="202"/>
    <x v="156"/>
    <x v="8"/>
    <s v="Card"/>
    <s v="Admitted"/>
    <n v="805"/>
    <s v="+91-7622505239"/>
  </r>
  <r>
    <x v="302"/>
    <x v="67"/>
    <n v="33"/>
    <x v="0"/>
    <s v="B+"/>
    <x v="7"/>
    <x v="2"/>
    <x v="1"/>
    <n v="1444"/>
    <n v="2914"/>
    <n v="4746"/>
    <n v="12420"/>
    <n v="21524"/>
    <x v="61"/>
    <x v="38"/>
    <x v="6"/>
    <s v="UPI"/>
    <s v="Discharged"/>
    <n v="849"/>
    <s v="+91-8011740002"/>
  </r>
  <r>
    <x v="303"/>
    <x v="100"/>
    <n v="71"/>
    <x v="0"/>
    <s v="A+"/>
    <x v="4"/>
    <x v="6"/>
    <x v="0"/>
    <n v="1220"/>
    <n v="2922"/>
    <n v="7012"/>
    <n v="5314"/>
    <n v="16468"/>
    <x v="203"/>
    <x v="206"/>
    <x v="4"/>
    <s v="Insurance"/>
    <s v="Under Treatment"/>
    <n v="289"/>
    <s v="+91-9792165664"/>
  </r>
  <r>
    <x v="304"/>
    <x v="35"/>
    <n v="47"/>
    <x v="0"/>
    <s v="B+"/>
    <x v="1"/>
    <x v="2"/>
    <x v="6"/>
    <n v="1403"/>
    <n v="3674"/>
    <n v="1855"/>
    <n v="9586"/>
    <n v="16518"/>
    <x v="204"/>
    <x v="146"/>
    <x v="3"/>
    <s v="UPI"/>
    <s v="Discharged"/>
    <n v="519"/>
    <s v="+91-8752661410"/>
  </r>
  <r>
    <x v="305"/>
    <x v="25"/>
    <n v="13"/>
    <x v="0"/>
    <s v="A+"/>
    <x v="2"/>
    <x v="2"/>
    <x v="0"/>
    <n v="665"/>
    <n v="756"/>
    <n v="1955"/>
    <n v="2753"/>
    <n v="6129"/>
    <x v="11"/>
    <x v="203"/>
    <x v="5"/>
    <s v="Insurance"/>
    <s v="Under Treatment"/>
    <n v="601"/>
    <s v="+91-8258385550"/>
  </r>
  <r>
    <x v="306"/>
    <x v="218"/>
    <n v="33"/>
    <x v="0"/>
    <s v="AB-"/>
    <x v="1"/>
    <x v="6"/>
    <x v="3"/>
    <n v="445"/>
    <n v="607"/>
    <n v="7920"/>
    <n v="4419"/>
    <n v="13391"/>
    <x v="72"/>
    <x v="207"/>
    <x v="5"/>
    <s v="Cash"/>
    <s v="Discharged"/>
    <n v="671"/>
    <s v="+91-9193211278"/>
  </r>
  <r>
    <x v="307"/>
    <x v="110"/>
    <n v="8"/>
    <x v="1"/>
    <s v="AB+"/>
    <x v="2"/>
    <x v="0"/>
    <x v="6"/>
    <n v="922"/>
    <n v="1138"/>
    <n v="2068"/>
    <n v="9511"/>
    <n v="13639"/>
    <x v="205"/>
    <x v="208"/>
    <x v="7"/>
    <s v="Card"/>
    <s v="Under Treatment"/>
    <n v="772"/>
    <s v="+91-7068429057"/>
  </r>
  <r>
    <x v="308"/>
    <x v="54"/>
    <n v="72"/>
    <x v="1"/>
    <s v="AB+"/>
    <x v="4"/>
    <x v="2"/>
    <x v="2"/>
    <n v="1239"/>
    <n v="3998"/>
    <n v="7532"/>
    <n v="2705"/>
    <n v="15474"/>
    <x v="206"/>
    <x v="209"/>
    <x v="3"/>
    <s v="UPI"/>
    <s v="Under Treatment"/>
    <n v="261"/>
    <s v="+91-8293085064"/>
  </r>
  <r>
    <x v="309"/>
    <x v="86"/>
    <n v="46"/>
    <x v="1"/>
    <s v="B-"/>
    <x v="1"/>
    <x v="4"/>
    <x v="2"/>
    <n v="1144"/>
    <n v="4027"/>
    <n v="7067"/>
    <n v="12892"/>
    <n v="25130"/>
    <x v="176"/>
    <x v="49"/>
    <x v="7"/>
    <s v="UPI"/>
    <s v="Discharged"/>
    <n v="563"/>
    <s v="+91-7921996951"/>
  </r>
  <r>
    <x v="310"/>
    <x v="219"/>
    <n v="5"/>
    <x v="1"/>
    <s v="O+"/>
    <x v="2"/>
    <x v="2"/>
    <x v="0"/>
    <n v="918"/>
    <n v="553"/>
    <n v="2760"/>
    <n v="4635"/>
    <n v="8866"/>
    <x v="25"/>
    <x v="180"/>
    <x v="0"/>
    <s v="Card"/>
    <s v="Admitted"/>
    <n v="138"/>
    <s v="+91-7977273278"/>
  </r>
  <r>
    <x v="311"/>
    <x v="67"/>
    <n v="18"/>
    <x v="1"/>
    <s v="B-"/>
    <x v="1"/>
    <x v="3"/>
    <x v="3"/>
    <n v="777"/>
    <n v="2599"/>
    <n v="6944"/>
    <n v="5920"/>
    <n v="16240"/>
    <x v="133"/>
    <x v="210"/>
    <x v="1"/>
    <s v="Cash"/>
    <s v="Under Treatment"/>
    <n v="432"/>
    <s v="+91-9405497598"/>
  </r>
  <r>
    <x v="312"/>
    <x v="99"/>
    <n v="63"/>
    <x v="0"/>
    <s v="AB+"/>
    <x v="6"/>
    <x v="4"/>
    <x v="12"/>
    <n v="1480"/>
    <n v="3625"/>
    <n v="942"/>
    <n v="13781"/>
    <n v="19828"/>
    <x v="53"/>
    <x v="140"/>
    <x v="8"/>
    <s v="Cash"/>
    <s v="Admitted"/>
    <n v="865"/>
    <s v="+91-8803665224"/>
  </r>
  <r>
    <x v="313"/>
    <x v="220"/>
    <n v="82"/>
    <x v="1"/>
    <s v="B-"/>
    <x v="2"/>
    <x v="0"/>
    <x v="9"/>
    <n v="1373"/>
    <n v="837"/>
    <n v="2915"/>
    <n v="9846"/>
    <n v="14971"/>
    <x v="207"/>
    <x v="211"/>
    <x v="8"/>
    <s v="Cash"/>
    <s v="Under Treatment"/>
    <n v="849"/>
    <s v="+91-7687418351"/>
  </r>
  <r>
    <x v="314"/>
    <x v="134"/>
    <n v="74"/>
    <x v="0"/>
    <s v="A+"/>
    <x v="0"/>
    <x v="2"/>
    <x v="14"/>
    <n v="893"/>
    <n v="3730"/>
    <n v="1512"/>
    <n v="3165"/>
    <n v="9300"/>
    <x v="208"/>
    <x v="186"/>
    <x v="4"/>
    <s v="Insurance"/>
    <s v="Discharged"/>
    <n v="187"/>
    <s v="+91-7711660604"/>
  </r>
  <r>
    <x v="315"/>
    <x v="221"/>
    <n v="17"/>
    <x v="0"/>
    <s v="B-"/>
    <x v="7"/>
    <x v="0"/>
    <x v="4"/>
    <n v="1299"/>
    <n v="3738"/>
    <n v="5643"/>
    <n v="10360"/>
    <n v="21040"/>
    <x v="209"/>
    <x v="20"/>
    <x v="6"/>
    <s v="Cash"/>
    <s v="Discharged"/>
    <n v="895"/>
    <s v="+91-7847118259"/>
  </r>
  <r>
    <x v="316"/>
    <x v="222"/>
    <n v="12"/>
    <x v="0"/>
    <s v="O+"/>
    <x v="5"/>
    <x v="0"/>
    <x v="14"/>
    <n v="1048"/>
    <n v="3353"/>
    <n v="1860"/>
    <n v="6254"/>
    <n v="12515"/>
    <x v="149"/>
    <x v="212"/>
    <x v="0"/>
    <s v="UPI"/>
    <s v="Under Treatment"/>
    <n v="941"/>
    <s v="+91-9447982663"/>
  </r>
  <r>
    <x v="317"/>
    <x v="134"/>
    <n v="19"/>
    <x v="1"/>
    <s v="B-"/>
    <x v="2"/>
    <x v="2"/>
    <x v="3"/>
    <n v="708"/>
    <n v="3562"/>
    <n v="1577"/>
    <n v="13414"/>
    <n v="19261"/>
    <x v="210"/>
    <x v="213"/>
    <x v="0"/>
    <s v="Card"/>
    <s v="Discharged"/>
    <n v="114"/>
    <s v="+91-7474339313"/>
  </r>
  <r>
    <x v="318"/>
    <x v="214"/>
    <n v="58"/>
    <x v="1"/>
    <s v="AB-"/>
    <x v="2"/>
    <x v="2"/>
    <x v="13"/>
    <n v="728"/>
    <n v="4907"/>
    <n v="2035"/>
    <n v="4339"/>
    <n v="12009"/>
    <x v="211"/>
    <x v="200"/>
    <x v="2"/>
    <s v="Card"/>
    <s v="Under Treatment"/>
    <n v="815"/>
    <s v="+91-8870157362"/>
  </r>
  <r>
    <x v="319"/>
    <x v="33"/>
    <n v="75"/>
    <x v="0"/>
    <s v="A+"/>
    <x v="6"/>
    <x v="4"/>
    <x v="7"/>
    <n v="423"/>
    <n v="2826"/>
    <n v="1944"/>
    <n v="13930"/>
    <n v="19123"/>
    <x v="27"/>
    <x v="166"/>
    <x v="2"/>
    <s v="Cash"/>
    <s v="Admitted"/>
    <n v="497"/>
    <s v="+91-8836279709"/>
  </r>
  <r>
    <x v="320"/>
    <x v="96"/>
    <n v="14"/>
    <x v="0"/>
    <s v="A-"/>
    <x v="6"/>
    <x v="0"/>
    <x v="8"/>
    <n v="773"/>
    <n v="3618"/>
    <n v="4465"/>
    <n v="12627"/>
    <n v="21483"/>
    <x v="212"/>
    <x v="180"/>
    <x v="4"/>
    <s v="Card"/>
    <s v="Under Treatment"/>
    <n v="568"/>
    <s v="+91-8408134650"/>
  </r>
  <r>
    <x v="321"/>
    <x v="223"/>
    <n v="32"/>
    <x v="1"/>
    <s v="O+"/>
    <x v="1"/>
    <x v="0"/>
    <x v="15"/>
    <n v="1105"/>
    <n v="1786"/>
    <n v="450"/>
    <n v="6681"/>
    <n v="10022"/>
    <x v="76"/>
    <x v="191"/>
    <x v="8"/>
    <s v="UPI"/>
    <s v="Admitted"/>
    <n v="740"/>
    <s v="+91-7106724433"/>
  </r>
  <r>
    <x v="322"/>
    <x v="219"/>
    <n v="72"/>
    <x v="1"/>
    <s v="B-"/>
    <x v="0"/>
    <x v="4"/>
    <x v="0"/>
    <n v="999"/>
    <n v="3718"/>
    <n v="5681"/>
    <n v="3248"/>
    <n v="13646"/>
    <x v="213"/>
    <x v="136"/>
    <x v="3"/>
    <s v="Card"/>
    <s v="Under Treatment"/>
    <n v="256"/>
    <s v="+91-7831653186"/>
  </r>
  <r>
    <x v="323"/>
    <x v="224"/>
    <n v="43"/>
    <x v="1"/>
    <s v="B+"/>
    <x v="3"/>
    <x v="4"/>
    <x v="4"/>
    <n v="583"/>
    <n v="4934"/>
    <n v="5903"/>
    <n v="14108"/>
    <n v="25528"/>
    <x v="214"/>
    <x v="30"/>
    <x v="2"/>
    <s v="Card"/>
    <s v="Under Treatment"/>
    <n v="678"/>
    <s v="+91-9938966574"/>
  </r>
  <r>
    <x v="324"/>
    <x v="169"/>
    <n v="9"/>
    <x v="0"/>
    <s v="AB-"/>
    <x v="3"/>
    <x v="3"/>
    <x v="13"/>
    <n v="598"/>
    <n v="741"/>
    <n v="6570"/>
    <n v="6221"/>
    <n v="14130"/>
    <x v="215"/>
    <x v="22"/>
    <x v="2"/>
    <s v="UPI"/>
    <s v="Admitted"/>
    <n v="897"/>
    <s v="+91-6807168703"/>
  </r>
  <r>
    <x v="325"/>
    <x v="97"/>
    <n v="24"/>
    <x v="0"/>
    <s v="B+"/>
    <x v="6"/>
    <x v="2"/>
    <x v="3"/>
    <n v="775"/>
    <n v="2391"/>
    <n v="5930"/>
    <n v="1427"/>
    <n v="10523"/>
    <x v="216"/>
    <x v="214"/>
    <x v="4"/>
    <s v="Insurance"/>
    <s v="Under Treatment"/>
    <n v="765"/>
    <s v="+91-7606143397"/>
  </r>
  <r>
    <x v="326"/>
    <x v="225"/>
    <n v="63"/>
    <x v="1"/>
    <s v="B-"/>
    <x v="3"/>
    <x v="3"/>
    <x v="7"/>
    <n v="695"/>
    <n v="2353"/>
    <n v="564"/>
    <n v="7694"/>
    <n v="11306"/>
    <x v="217"/>
    <x v="215"/>
    <x v="1"/>
    <s v="Card"/>
    <s v="Admitted"/>
    <n v="167"/>
    <s v="+91-6760545067"/>
  </r>
  <r>
    <x v="327"/>
    <x v="134"/>
    <n v="63"/>
    <x v="1"/>
    <s v="AB+"/>
    <x v="7"/>
    <x v="2"/>
    <x v="3"/>
    <n v="1175"/>
    <n v="3816"/>
    <n v="6658"/>
    <n v="1685"/>
    <n v="13334"/>
    <x v="218"/>
    <x v="3"/>
    <x v="8"/>
    <s v="Cash"/>
    <s v="Under Treatment"/>
    <n v="211"/>
    <s v="+91-7939648421"/>
  </r>
  <r>
    <x v="328"/>
    <x v="47"/>
    <n v="32"/>
    <x v="1"/>
    <s v="O+"/>
    <x v="2"/>
    <x v="4"/>
    <x v="8"/>
    <n v="1357"/>
    <n v="903"/>
    <n v="1855"/>
    <n v="5770"/>
    <n v="9885"/>
    <x v="57"/>
    <x v="193"/>
    <x v="2"/>
    <s v="Card"/>
    <s v="Discharged"/>
    <n v="401"/>
    <s v="+91-8633391667"/>
  </r>
  <r>
    <x v="329"/>
    <x v="226"/>
    <n v="19"/>
    <x v="1"/>
    <s v="B+"/>
    <x v="7"/>
    <x v="4"/>
    <x v="6"/>
    <n v="1325"/>
    <n v="1427"/>
    <n v="1772"/>
    <n v="13758"/>
    <n v="18282"/>
    <x v="30"/>
    <x v="31"/>
    <x v="3"/>
    <s v="Insurance"/>
    <s v="Discharged"/>
    <n v="561"/>
    <s v="+91-6106996713"/>
  </r>
  <r>
    <x v="330"/>
    <x v="227"/>
    <n v="76"/>
    <x v="0"/>
    <s v="A-"/>
    <x v="7"/>
    <x v="5"/>
    <x v="6"/>
    <n v="812"/>
    <n v="3154"/>
    <n v="5966"/>
    <n v="11626"/>
    <n v="21558"/>
    <x v="139"/>
    <x v="197"/>
    <x v="5"/>
    <s v="Insurance"/>
    <s v="Under Treatment"/>
    <n v="471"/>
    <s v="+91-6366388824"/>
  </r>
  <r>
    <x v="331"/>
    <x v="23"/>
    <n v="66"/>
    <x v="0"/>
    <s v="B+"/>
    <x v="5"/>
    <x v="6"/>
    <x v="8"/>
    <n v="389"/>
    <n v="1899"/>
    <n v="7773"/>
    <n v="6491"/>
    <n v="16552"/>
    <x v="207"/>
    <x v="216"/>
    <x v="9"/>
    <s v="Card"/>
    <s v="Admitted"/>
    <n v="887"/>
    <s v="+91-9058220682"/>
  </r>
  <r>
    <x v="332"/>
    <x v="44"/>
    <n v="40"/>
    <x v="1"/>
    <s v="O+"/>
    <x v="7"/>
    <x v="5"/>
    <x v="9"/>
    <n v="670"/>
    <n v="1463"/>
    <n v="7660"/>
    <n v="3155"/>
    <n v="12948"/>
    <x v="214"/>
    <x v="170"/>
    <x v="6"/>
    <s v="Insurance"/>
    <s v="Discharged"/>
    <n v="975"/>
    <s v="+91-8141652101"/>
  </r>
  <r>
    <x v="333"/>
    <x v="228"/>
    <n v="78"/>
    <x v="1"/>
    <s v="A+"/>
    <x v="0"/>
    <x v="0"/>
    <x v="4"/>
    <n v="1274"/>
    <n v="4217"/>
    <n v="3659"/>
    <n v="8239"/>
    <n v="17389"/>
    <x v="102"/>
    <x v="217"/>
    <x v="6"/>
    <s v="UPI"/>
    <s v="Under Treatment"/>
    <n v="743"/>
    <s v="+91-8394653192"/>
  </r>
  <r>
    <x v="334"/>
    <x v="114"/>
    <n v="24"/>
    <x v="0"/>
    <s v="O+"/>
    <x v="2"/>
    <x v="1"/>
    <x v="2"/>
    <n v="375"/>
    <n v="1690"/>
    <n v="7294"/>
    <n v="1531"/>
    <n v="10890"/>
    <x v="201"/>
    <x v="46"/>
    <x v="6"/>
    <s v="Cash"/>
    <s v="Admitted"/>
    <n v="211"/>
    <s v="+91-7790816346"/>
  </r>
  <r>
    <x v="335"/>
    <x v="229"/>
    <n v="37"/>
    <x v="0"/>
    <s v="A-"/>
    <x v="7"/>
    <x v="6"/>
    <x v="2"/>
    <n v="373"/>
    <n v="1262"/>
    <n v="6595"/>
    <n v="5903"/>
    <n v="14133"/>
    <x v="176"/>
    <x v="34"/>
    <x v="1"/>
    <s v="Insurance"/>
    <s v="Under Treatment"/>
    <n v="166"/>
    <s v="+91-7257706935"/>
  </r>
  <r>
    <x v="336"/>
    <x v="230"/>
    <n v="16"/>
    <x v="1"/>
    <s v="A-"/>
    <x v="1"/>
    <x v="4"/>
    <x v="14"/>
    <n v="1374"/>
    <n v="2219"/>
    <n v="6000"/>
    <n v="4425"/>
    <n v="14018"/>
    <x v="18"/>
    <x v="15"/>
    <x v="5"/>
    <s v="UPI"/>
    <s v="Discharged"/>
    <n v="723"/>
    <s v="+91-9641264554"/>
  </r>
  <r>
    <x v="337"/>
    <x v="231"/>
    <n v="68"/>
    <x v="1"/>
    <s v="O+"/>
    <x v="3"/>
    <x v="0"/>
    <x v="15"/>
    <n v="1364"/>
    <n v="4577"/>
    <n v="4334"/>
    <n v="14237"/>
    <n v="24512"/>
    <x v="199"/>
    <x v="76"/>
    <x v="7"/>
    <s v="Cash"/>
    <s v="Admitted"/>
    <n v="124"/>
    <s v="+91-7996668602"/>
  </r>
  <r>
    <x v="338"/>
    <x v="149"/>
    <n v="79"/>
    <x v="1"/>
    <s v="B-"/>
    <x v="5"/>
    <x v="3"/>
    <x v="12"/>
    <n v="983"/>
    <n v="3364"/>
    <n v="4890"/>
    <n v="14206"/>
    <n v="23443"/>
    <x v="219"/>
    <x v="70"/>
    <x v="0"/>
    <s v="UPI"/>
    <s v="Discharged"/>
    <n v="909"/>
    <s v="+91-6291353679"/>
  </r>
  <r>
    <x v="339"/>
    <x v="93"/>
    <n v="65"/>
    <x v="1"/>
    <s v="B+"/>
    <x v="2"/>
    <x v="0"/>
    <x v="11"/>
    <n v="982"/>
    <n v="3296"/>
    <n v="3544"/>
    <n v="12868"/>
    <n v="20690"/>
    <x v="138"/>
    <x v="60"/>
    <x v="0"/>
    <s v="UPI"/>
    <s v="Discharged"/>
    <n v="788"/>
    <s v="+91-8057754346"/>
  </r>
  <r>
    <x v="340"/>
    <x v="232"/>
    <n v="83"/>
    <x v="0"/>
    <s v="O+"/>
    <x v="7"/>
    <x v="2"/>
    <x v="0"/>
    <n v="1243"/>
    <n v="4898"/>
    <n v="7639"/>
    <n v="6490"/>
    <n v="20270"/>
    <x v="48"/>
    <x v="48"/>
    <x v="0"/>
    <s v="UPI"/>
    <s v="Under Treatment"/>
    <n v="648"/>
    <s v="+91-6080395064"/>
  </r>
  <r>
    <x v="341"/>
    <x v="108"/>
    <n v="43"/>
    <x v="1"/>
    <s v="AB+"/>
    <x v="4"/>
    <x v="0"/>
    <x v="0"/>
    <n v="874"/>
    <n v="755"/>
    <n v="3078"/>
    <n v="7147"/>
    <n v="11854"/>
    <x v="220"/>
    <x v="218"/>
    <x v="9"/>
    <s v="Cash"/>
    <s v="Discharged"/>
    <n v="822"/>
    <s v="+91-9684306615"/>
  </r>
  <r>
    <x v="342"/>
    <x v="217"/>
    <n v="35"/>
    <x v="1"/>
    <s v="O+"/>
    <x v="4"/>
    <x v="0"/>
    <x v="15"/>
    <n v="786"/>
    <n v="3544"/>
    <n v="4002"/>
    <n v="14589"/>
    <n v="22921"/>
    <x v="35"/>
    <x v="219"/>
    <x v="3"/>
    <s v="Cash"/>
    <s v="Discharged"/>
    <n v="903"/>
    <s v="+91-6160610438"/>
  </r>
  <r>
    <x v="343"/>
    <x v="233"/>
    <n v="57"/>
    <x v="0"/>
    <s v="B+"/>
    <x v="7"/>
    <x v="6"/>
    <x v="0"/>
    <n v="689"/>
    <n v="3286"/>
    <n v="7866"/>
    <n v="8921"/>
    <n v="20762"/>
    <x v="160"/>
    <x v="220"/>
    <x v="8"/>
    <s v="Cash"/>
    <s v="Under Treatment"/>
    <n v="792"/>
    <s v="+91-6570015858"/>
  </r>
  <r>
    <x v="344"/>
    <x v="114"/>
    <n v="59"/>
    <x v="1"/>
    <s v="AB-"/>
    <x v="4"/>
    <x v="5"/>
    <x v="5"/>
    <n v="936"/>
    <n v="860"/>
    <n v="5928"/>
    <n v="14895"/>
    <n v="22619"/>
    <x v="221"/>
    <x v="221"/>
    <x v="8"/>
    <s v="Cash"/>
    <s v="Under Treatment"/>
    <n v="884"/>
    <s v="+91-8830315936"/>
  </r>
  <r>
    <x v="345"/>
    <x v="234"/>
    <n v="74"/>
    <x v="1"/>
    <s v="A-"/>
    <x v="0"/>
    <x v="1"/>
    <x v="13"/>
    <n v="710"/>
    <n v="2077"/>
    <n v="2647"/>
    <n v="5532"/>
    <n v="10966"/>
    <x v="222"/>
    <x v="222"/>
    <x v="4"/>
    <s v="Card"/>
    <s v="Admitted"/>
    <n v="380"/>
    <s v="+91-6491603670"/>
  </r>
  <r>
    <x v="346"/>
    <x v="35"/>
    <n v="72"/>
    <x v="0"/>
    <s v="B-"/>
    <x v="0"/>
    <x v="0"/>
    <x v="2"/>
    <n v="1425"/>
    <n v="3109"/>
    <n v="2520"/>
    <n v="3319"/>
    <n v="10373"/>
    <x v="223"/>
    <x v="223"/>
    <x v="6"/>
    <s v="Cash"/>
    <s v="Discharged"/>
    <n v="727"/>
    <s v="+91-9832154946"/>
  </r>
  <r>
    <x v="347"/>
    <x v="176"/>
    <n v="57"/>
    <x v="0"/>
    <s v="AB+"/>
    <x v="3"/>
    <x v="0"/>
    <x v="5"/>
    <n v="1264"/>
    <n v="913"/>
    <n v="1167"/>
    <n v="7284"/>
    <n v="10628"/>
    <x v="12"/>
    <x v="221"/>
    <x v="1"/>
    <s v="Insurance"/>
    <s v="Under Treatment"/>
    <n v="464"/>
    <s v="+91-7341922388"/>
  </r>
  <r>
    <x v="348"/>
    <x v="235"/>
    <n v="69"/>
    <x v="0"/>
    <s v="AB-"/>
    <x v="7"/>
    <x v="0"/>
    <x v="0"/>
    <n v="490"/>
    <n v="4336"/>
    <n v="1096"/>
    <n v="8464"/>
    <n v="14386"/>
    <x v="67"/>
    <x v="35"/>
    <x v="4"/>
    <s v="Card"/>
    <s v="Admitted"/>
    <n v="981"/>
    <s v="+91-9847005898"/>
  </r>
  <r>
    <x v="349"/>
    <x v="236"/>
    <n v="47"/>
    <x v="1"/>
    <s v="O-"/>
    <x v="3"/>
    <x v="4"/>
    <x v="13"/>
    <n v="965"/>
    <n v="4213"/>
    <n v="4293"/>
    <n v="1495"/>
    <n v="10966"/>
    <x v="224"/>
    <x v="27"/>
    <x v="5"/>
    <s v="Insurance"/>
    <s v="Admitted"/>
    <n v="389"/>
    <s v="+91-9298283688"/>
  </r>
  <r>
    <x v="350"/>
    <x v="237"/>
    <n v="74"/>
    <x v="0"/>
    <s v="AB-"/>
    <x v="4"/>
    <x v="4"/>
    <x v="8"/>
    <n v="519"/>
    <n v="3169"/>
    <n v="4855"/>
    <n v="11640"/>
    <n v="20183"/>
    <x v="225"/>
    <x v="176"/>
    <x v="3"/>
    <s v="Insurance"/>
    <s v="Admitted"/>
    <n v="735"/>
    <s v="+91-7046645121"/>
  </r>
  <r>
    <x v="351"/>
    <x v="238"/>
    <n v="62"/>
    <x v="1"/>
    <s v="B-"/>
    <x v="4"/>
    <x v="0"/>
    <x v="13"/>
    <n v="726"/>
    <n v="4031"/>
    <n v="6725"/>
    <n v="8132"/>
    <n v="19614"/>
    <x v="226"/>
    <x v="224"/>
    <x v="3"/>
    <s v="Cash"/>
    <s v="Under Treatment"/>
    <n v="828"/>
    <s v="+91-8466119912"/>
  </r>
  <r>
    <x v="352"/>
    <x v="162"/>
    <n v="76"/>
    <x v="1"/>
    <s v="AB+"/>
    <x v="1"/>
    <x v="1"/>
    <x v="11"/>
    <n v="1211"/>
    <n v="1943"/>
    <n v="2823"/>
    <n v="7648"/>
    <n v="13625"/>
    <x v="109"/>
    <x v="225"/>
    <x v="5"/>
    <s v="Insurance"/>
    <s v="Under Treatment"/>
    <n v="776"/>
    <s v="+91-6264064129"/>
  </r>
  <r>
    <x v="353"/>
    <x v="189"/>
    <n v="18"/>
    <x v="0"/>
    <s v="B-"/>
    <x v="3"/>
    <x v="0"/>
    <x v="0"/>
    <n v="1227"/>
    <n v="4852"/>
    <n v="2687"/>
    <n v="7389"/>
    <n v="16155"/>
    <x v="99"/>
    <x v="46"/>
    <x v="4"/>
    <s v="UPI"/>
    <s v="Discharged"/>
    <n v="683"/>
    <s v="+91-9411692919"/>
  </r>
  <r>
    <x v="354"/>
    <x v="168"/>
    <n v="45"/>
    <x v="0"/>
    <s v="O-"/>
    <x v="2"/>
    <x v="5"/>
    <x v="8"/>
    <n v="561"/>
    <n v="2909"/>
    <n v="811"/>
    <n v="7049"/>
    <n v="11330"/>
    <x v="148"/>
    <x v="198"/>
    <x v="0"/>
    <s v="UPI"/>
    <s v="Admitted"/>
    <n v="340"/>
    <s v="+91-7854203954"/>
  </r>
  <r>
    <x v="355"/>
    <x v="239"/>
    <n v="81"/>
    <x v="1"/>
    <s v="B+"/>
    <x v="5"/>
    <x v="0"/>
    <x v="8"/>
    <n v="1081"/>
    <n v="4065"/>
    <n v="4765"/>
    <n v="4460"/>
    <n v="14371"/>
    <x v="170"/>
    <x v="90"/>
    <x v="4"/>
    <s v="Insurance"/>
    <s v="Discharged"/>
    <n v="960"/>
    <s v="+91-7792012815"/>
  </r>
  <r>
    <x v="356"/>
    <x v="240"/>
    <n v="17"/>
    <x v="0"/>
    <s v="A-"/>
    <x v="2"/>
    <x v="0"/>
    <x v="6"/>
    <n v="332"/>
    <n v="1679"/>
    <n v="6209"/>
    <n v="8974"/>
    <n v="17194"/>
    <x v="66"/>
    <x v="71"/>
    <x v="9"/>
    <s v="Insurance"/>
    <s v="Discharged"/>
    <n v="907"/>
    <s v="+91-8986679532"/>
  </r>
  <r>
    <x v="357"/>
    <x v="241"/>
    <n v="80"/>
    <x v="0"/>
    <s v="A+"/>
    <x v="7"/>
    <x v="2"/>
    <x v="14"/>
    <n v="1430"/>
    <n v="4186"/>
    <n v="3451"/>
    <n v="6821"/>
    <n v="15888"/>
    <x v="227"/>
    <x v="226"/>
    <x v="1"/>
    <s v="Insurance"/>
    <s v="Under Treatment"/>
    <n v="342"/>
    <s v="+91-9058575055"/>
  </r>
  <r>
    <x v="358"/>
    <x v="242"/>
    <n v="53"/>
    <x v="1"/>
    <s v="A-"/>
    <x v="2"/>
    <x v="0"/>
    <x v="12"/>
    <n v="1463"/>
    <n v="4458"/>
    <n v="6074"/>
    <n v="7038"/>
    <n v="19033"/>
    <x v="228"/>
    <x v="227"/>
    <x v="4"/>
    <s v="UPI"/>
    <s v="Discharged"/>
    <n v="629"/>
    <s v="+91-6336015067"/>
  </r>
  <r>
    <x v="359"/>
    <x v="243"/>
    <n v="12"/>
    <x v="0"/>
    <s v="AB-"/>
    <x v="7"/>
    <x v="4"/>
    <x v="6"/>
    <n v="1404"/>
    <n v="3059"/>
    <n v="5322"/>
    <n v="1864"/>
    <n v="11649"/>
    <x v="229"/>
    <x v="218"/>
    <x v="0"/>
    <s v="Insurance"/>
    <s v="Under Treatment"/>
    <n v="851"/>
    <s v="+91-7423841741"/>
  </r>
  <r>
    <x v="360"/>
    <x v="110"/>
    <n v="38"/>
    <x v="1"/>
    <s v="A+"/>
    <x v="3"/>
    <x v="3"/>
    <x v="12"/>
    <n v="922"/>
    <n v="2633"/>
    <n v="803"/>
    <n v="11310"/>
    <n v="15668"/>
    <x v="230"/>
    <x v="181"/>
    <x v="9"/>
    <s v="UPI"/>
    <s v="Under Treatment"/>
    <n v="739"/>
    <s v="+91-6117244390"/>
  </r>
  <r>
    <x v="361"/>
    <x v="79"/>
    <n v="11"/>
    <x v="0"/>
    <s v="A-"/>
    <x v="4"/>
    <x v="2"/>
    <x v="10"/>
    <n v="816"/>
    <n v="1585"/>
    <n v="5344"/>
    <n v="5603"/>
    <n v="13348"/>
    <x v="231"/>
    <x v="228"/>
    <x v="0"/>
    <s v="Card"/>
    <s v="Under Treatment"/>
    <n v="856"/>
    <s v="+91-6649122505"/>
  </r>
  <r>
    <x v="362"/>
    <x v="141"/>
    <n v="23"/>
    <x v="1"/>
    <s v="B+"/>
    <x v="0"/>
    <x v="6"/>
    <x v="15"/>
    <n v="670"/>
    <n v="4820"/>
    <n v="7361"/>
    <n v="1542"/>
    <n v="14393"/>
    <x v="229"/>
    <x v="229"/>
    <x v="9"/>
    <s v="Insurance"/>
    <s v="Discharged"/>
    <n v="888"/>
    <s v="+91-7645689727"/>
  </r>
  <r>
    <x v="363"/>
    <x v="244"/>
    <n v="82"/>
    <x v="0"/>
    <s v="AB-"/>
    <x v="0"/>
    <x v="4"/>
    <x v="2"/>
    <n v="411"/>
    <n v="2665"/>
    <n v="6488"/>
    <n v="14427"/>
    <n v="23991"/>
    <x v="60"/>
    <x v="135"/>
    <x v="9"/>
    <s v="Insurance"/>
    <s v="Discharged"/>
    <n v="587"/>
    <s v="+91-9204692162"/>
  </r>
  <r>
    <x v="364"/>
    <x v="245"/>
    <n v="49"/>
    <x v="1"/>
    <s v="AB+"/>
    <x v="7"/>
    <x v="3"/>
    <x v="10"/>
    <n v="597"/>
    <n v="4845"/>
    <n v="7429"/>
    <n v="8122"/>
    <n v="20993"/>
    <x v="232"/>
    <x v="129"/>
    <x v="4"/>
    <s v="UPI"/>
    <s v="Under Treatment"/>
    <n v="799"/>
    <s v="+91-6176169319"/>
  </r>
  <r>
    <x v="365"/>
    <x v="150"/>
    <n v="82"/>
    <x v="1"/>
    <s v="AB+"/>
    <x v="5"/>
    <x v="4"/>
    <x v="10"/>
    <n v="986"/>
    <n v="2714"/>
    <n v="2487"/>
    <n v="14145"/>
    <n v="20332"/>
    <x v="212"/>
    <x v="230"/>
    <x v="6"/>
    <s v="Card"/>
    <s v="Under Treatment"/>
    <n v="788"/>
    <s v="+91-8528551559"/>
  </r>
  <r>
    <x v="366"/>
    <x v="246"/>
    <n v="44"/>
    <x v="0"/>
    <s v="AB-"/>
    <x v="1"/>
    <x v="1"/>
    <x v="5"/>
    <n v="317"/>
    <n v="1056"/>
    <n v="397"/>
    <n v="7737"/>
    <n v="9507"/>
    <x v="212"/>
    <x v="231"/>
    <x v="5"/>
    <s v="Card"/>
    <s v="Under Treatment"/>
    <n v="390"/>
    <s v="+91-7081885552"/>
  </r>
  <r>
    <x v="367"/>
    <x v="114"/>
    <n v="4"/>
    <x v="0"/>
    <s v="B+"/>
    <x v="2"/>
    <x v="5"/>
    <x v="4"/>
    <n v="549"/>
    <n v="1482"/>
    <n v="1007"/>
    <n v="10907"/>
    <n v="13945"/>
    <x v="144"/>
    <x v="232"/>
    <x v="6"/>
    <s v="Card"/>
    <s v="Discharged"/>
    <n v="401"/>
    <s v="+91-8005558943"/>
  </r>
  <r>
    <x v="368"/>
    <x v="91"/>
    <n v="36"/>
    <x v="1"/>
    <s v="O-"/>
    <x v="1"/>
    <x v="5"/>
    <x v="10"/>
    <n v="631"/>
    <n v="1106"/>
    <n v="2571"/>
    <n v="13732"/>
    <n v="18040"/>
    <x v="233"/>
    <x v="136"/>
    <x v="1"/>
    <s v="UPI"/>
    <s v="Discharged"/>
    <n v="282"/>
    <s v="+91-7892254518"/>
  </r>
  <r>
    <x v="369"/>
    <x v="146"/>
    <n v="26"/>
    <x v="1"/>
    <s v="A-"/>
    <x v="3"/>
    <x v="4"/>
    <x v="15"/>
    <n v="522"/>
    <n v="1678"/>
    <n v="4728"/>
    <n v="13594"/>
    <n v="20522"/>
    <x v="234"/>
    <x v="192"/>
    <x v="6"/>
    <s v="UPI"/>
    <s v="Admitted"/>
    <n v="135"/>
    <s v="+91-6313186891"/>
  </r>
  <r>
    <x v="370"/>
    <x v="247"/>
    <n v="33"/>
    <x v="1"/>
    <s v="B+"/>
    <x v="2"/>
    <x v="3"/>
    <x v="15"/>
    <n v="604"/>
    <n v="507"/>
    <n v="7942"/>
    <n v="1619"/>
    <n v="10672"/>
    <x v="235"/>
    <x v="14"/>
    <x v="2"/>
    <s v="UPI"/>
    <s v="Discharged"/>
    <n v="688"/>
    <s v="+91-6015907492"/>
  </r>
  <r>
    <x v="371"/>
    <x v="208"/>
    <n v="62"/>
    <x v="1"/>
    <s v="O-"/>
    <x v="5"/>
    <x v="1"/>
    <x v="6"/>
    <n v="1406"/>
    <n v="2350"/>
    <n v="327"/>
    <n v="7298"/>
    <n v="11381"/>
    <x v="100"/>
    <x v="66"/>
    <x v="5"/>
    <s v="UPI"/>
    <s v="Discharged"/>
    <n v="156"/>
    <s v="+91-8715589803"/>
  </r>
  <r>
    <x v="372"/>
    <x v="172"/>
    <n v="69"/>
    <x v="1"/>
    <s v="O+"/>
    <x v="4"/>
    <x v="3"/>
    <x v="1"/>
    <n v="893"/>
    <n v="2163"/>
    <n v="1746"/>
    <n v="10084"/>
    <n v="14886"/>
    <x v="16"/>
    <x v="233"/>
    <x v="7"/>
    <s v="Insurance"/>
    <s v="Admitted"/>
    <n v="745"/>
    <s v="+91-8958556372"/>
  </r>
  <r>
    <x v="373"/>
    <x v="248"/>
    <n v="11"/>
    <x v="1"/>
    <s v="AB+"/>
    <x v="0"/>
    <x v="5"/>
    <x v="0"/>
    <n v="373"/>
    <n v="2081"/>
    <n v="507"/>
    <n v="12792"/>
    <n v="15753"/>
    <x v="186"/>
    <x v="44"/>
    <x v="4"/>
    <s v="UPI"/>
    <s v="Discharged"/>
    <n v="646"/>
    <s v="+91-9583077705"/>
  </r>
  <r>
    <x v="374"/>
    <x v="249"/>
    <n v="5"/>
    <x v="1"/>
    <s v="AB-"/>
    <x v="2"/>
    <x v="3"/>
    <x v="13"/>
    <n v="387"/>
    <n v="3821"/>
    <n v="1268"/>
    <n v="4468"/>
    <n v="9944"/>
    <x v="131"/>
    <x v="234"/>
    <x v="3"/>
    <s v="Card"/>
    <s v="Under Treatment"/>
    <n v="693"/>
    <s v="+91-7000665786"/>
  </r>
  <r>
    <x v="375"/>
    <x v="117"/>
    <n v="19"/>
    <x v="1"/>
    <s v="A+"/>
    <x v="2"/>
    <x v="1"/>
    <x v="15"/>
    <n v="393"/>
    <n v="2488"/>
    <n v="6045"/>
    <n v="11629"/>
    <n v="20555"/>
    <x v="144"/>
    <x v="41"/>
    <x v="9"/>
    <s v="Cash"/>
    <s v="Discharged"/>
    <n v="725"/>
    <s v="+91-6733105340"/>
  </r>
  <r>
    <x v="376"/>
    <x v="250"/>
    <n v="14"/>
    <x v="0"/>
    <s v="A-"/>
    <x v="7"/>
    <x v="3"/>
    <x v="3"/>
    <n v="429"/>
    <n v="2160"/>
    <n v="3791"/>
    <n v="6527"/>
    <n v="12907"/>
    <x v="236"/>
    <x v="110"/>
    <x v="8"/>
    <s v="Card"/>
    <s v="Discharged"/>
    <n v="956"/>
    <s v="+91-9406345733"/>
  </r>
  <r>
    <x v="377"/>
    <x v="114"/>
    <n v="76"/>
    <x v="0"/>
    <s v="B+"/>
    <x v="1"/>
    <x v="4"/>
    <x v="6"/>
    <n v="547"/>
    <n v="2743"/>
    <n v="1457"/>
    <n v="13411"/>
    <n v="18158"/>
    <x v="50"/>
    <x v="114"/>
    <x v="8"/>
    <s v="Card"/>
    <s v="Under Treatment"/>
    <n v="141"/>
    <s v="+91-6572823571"/>
  </r>
  <r>
    <x v="378"/>
    <x v="251"/>
    <n v="49"/>
    <x v="0"/>
    <s v="O+"/>
    <x v="2"/>
    <x v="4"/>
    <x v="15"/>
    <n v="465"/>
    <n v="552"/>
    <n v="359"/>
    <n v="3939"/>
    <n v="5315"/>
    <x v="237"/>
    <x v="235"/>
    <x v="6"/>
    <s v="Insurance"/>
    <s v="Under Treatment"/>
    <n v="229"/>
    <s v="+91-6885451419"/>
  </r>
  <r>
    <x v="379"/>
    <x v="19"/>
    <n v="67"/>
    <x v="1"/>
    <s v="O+"/>
    <x v="5"/>
    <x v="1"/>
    <x v="3"/>
    <n v="657"/>
    <n v="808"/>
    <n v="5184"/>
    <n v="3949"/>
    <n v="10598"/>
    <x v="5"/>
    <x v="236"/>
    <x v="5"/>
    <s v="Insurance"/>
    <s v="Admitted"/>
    <n v="671"/>
    <s v="+91-7012061834"/>
  </r>
  <r>
    <x v="380"/>
    <x v="252"/>
    <n v="68"/>
    <x v="0"/>
    <s v="AB-"/>
    <x v="1"/>
    <x v="4"/>
    <x v="3"/>
    <n v="1250"/>
    <n v="2204"/>
    <n v="2564"/>
    <n v="1869"/>
    <n v="7887"/>
    <x v="238"/>
    <x v="213"/>
    <x v="9"/>
    <s v="Card"/>
    <s v="Admitted"/>
    <n v="786"/>
    <s v="+91-9962850544"/>
  </r>
  <r>
    <x v="381"/>
    <x v="75"/>
    <n v="83"/>
    <x v="1"/>
    <s v="A+"/>
    <x v="6"/>
    <x v="2"/>
    <x v="4"/>
    <n v="1190"/>
    <n v="2559"/>
    <n v="3038"/>
    <n v="11105"/>
    <n v="17892"/>
    <x v="62"/>
    <x v="142"/>
    <x v="5"/>
    <s v="Card"/>
    <s v="Admitted"/>
    <n v="904"/>
    <s v="+91-6124834191"/>
  </r>
  <r>
    <x v="382"/>
    <x v="253"/>
    <n v="15"/>
    <x v="0"/>
    <s v="A-"/>
    <x v="0"/>
    <x v="1"/>
    <x v="1"/>
    <n v="1487"/>
    <n v="3170"/>
    <n v="3732"/>
    <n v="4256"/>
    <n v="12645"/>
    <x v="239"/>
    <x v="237"/>
    <x v="7"/>
    <s v="Card"/>
    <s v="Admitted"/>
    <n v="342"/>
    <s v="+91-9168602952"/>
  </r>
  <r>
    <x v="383"/>
    <x v="12"/>
    <n v="49"/>
    <x v="0"/>
    <s v="AB-"/>
    <x v="4"/>
    <x v="0"/>
    <x v="15"/>
    <n v="1498"/>
    <n v="4468"/>
    <n v="745"/>
    <n v="8141"/>
    <n v="14852"/>
    <x v="240"/>
    <x v="219"/>
    <x v="6"/>
    <s v="Insurance"/>
    <s v="Discharged"/>
    <n v="239"/>
    <s v="+91-7965979155"/>
  </r>
  <r>
    <x v="384"/>
    <x v="254"/>
    <n v="35"/>
    <x v="0"/>
    <s v="AB+"/>
    <x v="1"/>
    <x v="0"/>
    <x v="0"/>
    <n v="365"/>
    <n v="988"/>
    <n v="2598"/>
    <n v="3236"/>
    <n v="7187"/>
    <x v="241"/>
    <x v="104"/>
    <x v="4"/>
    <s v="UPI"/>
    <s v="Admitted"/>
    <n v="402"/>
    <s v="+91-8592596823"/>
  </r>
  <r>
    <x v="385"/>
    <x v="92"/>
    <n v="22"/>
    <x v="0"/>
    <s v="O+"/>
    <x v="4"/>
    <x v="5"/>
    <x v="14"/>
    <n v="1368"/>
    <n v="4507"/>
    <n v="7363"/>
    <n v="4546"/>
    <n v="17784"/>
    <x v="242"/>
    <x v="204"/>
    <x v="4"/>
    <s v="Insurance"/>
    <s v="Under Treatment"/>
    <n v="993"/>
    <s v="+91-7059371626"/>
  </r>
  <r>
    <x v="386"/>
    <x v="209"/>
    <n v="56"/>
    <x v="0"/>
    <s v="AB+"/>
    <x v="3"/>
    <x v="4"/>
    <x v="5"/>
    <n v="1155"/>
    <n v="862"/>
    <n v="628"/>
    <n v="8711"/>
    <n v="11356"/>
    <x v="118"/>
    <x v="57"/>
    <x v="1"/>
    <s v="Cash"/>
    <s v="Discharged"/>
    <n v="607"/>
    <s v="+91-7032989010"/>
  </r>
  <r>
    <x v="387"/>
    <x v="89"/>
    <n v="2"/>
    <x v="1"/>
    <s v="O+"/>
    <x v="0"/>
    <x v="0"/>
    <x v="0"/>
    <n v="1034"/>
    <n v="2923"/>
    <n v="2258"/>
    <n v="11610"/>
    <n v="17825"/>
    <x v="6"/>
    <x v="238"/>
    <x v="4"/>
    <s v="Insurance"/>
    <s v="Under Treatment"/>
    <n v="865"/>
    <s v="+91-8506801119"/>
  </r>
  <r>
    <x v="388"/>
    <x v="255"/>
    <n v="60"/>
    <x v="0"/>
    <s v="AB+"/>
    <x v="5"/>
    <x v="3"/>
    <x v="7"/>
    <n v="1058"/>
    <n v="4303"/>
    <n v="6066"/>
    <n v="11377"/>
    <n v="22804"/>
    <x v="196"/>
    <x v="239"/>
    <x v="5"/>
    <s v="UPI"/>
    <s v="Under Treatment"/>
    <n v="133"/>
    <s v="+91-7273844284"/>
  </r>
  <r>
    <x v="389"/>
    <x v="190"/>
    <n v="79"/>
    <x v="0"/>
    <s v="AB+"/>
    <x v="4"/>
    <x v="1"/>
    <x v="13"/>
    <n v="412"/>
    <n v="4716"/>
    <n v="7754"/>
    <n v="12053"/>
    <n v="24935"/>
    <x v="183"/>
    <x v="135"/>
    <x v="5"/>
    <s v="Insurance"/>
    <s v="Under Treatment"/>
    <n v="141"/>
    <s v="+91-7570116109"/>
  </r>
  <r>
    <x v="390"/>
    <x v="256"/>
    <n v="83"/>
    <x v="0"/>
    <s v="B-"/>
    <x v="0"/>
    <x v="6"/>
    <x v="0"/>
    <n v="985"/>
    <n v="2454"/>
    <n v="4720"/>
    <n v="2860"/>
    <n v="11019"/>
    <x v="115"/>
    <x v="240"/>
    <x v="6"/>
    <s v="Card"/>
    <s v="Discharged"/>
    <n v="461"/>
    <s v="+91-9856593038"/>
  </r>
  <r>
    <x v="391"/>
    <x v="8"/>
    <n v="55"/>
    <x v="1"/>
    <s v="AB-"/>
    <x v="2"/>
    <x v="3"/>
    <x v="6"/>
    <n v="1063"/>
    <n v="3328"/>
    <n v="4006"/>
    <n v="8966"/>
    <n v="17363"/>
    <x v="243"/>
    <x v="78"/>
    <x v="5"/>
    <s v="UPI"/>
    <s v="Discharged"/>
    <n v="735"/>
    <s v="+91-7581174368"/>
  </r>
  <r>
    <x v="392"/>
    <x v="189"/>
    <n v="59"/>
    <x v="0"/>
    <s v="B+"/>
    <x v="4"/>
    <x v="4"/>
    <x v="8"/>
    <n v="666"/>
    <n v="2862"/>
    <n v="930"/>
    <n v="2791"/>
    <n v="7249"/>
    <x v="127"/>
    <x v="62"/>
    <x v="5"/>
    <s v="Card"/>
    <s v="Admitted"/>
    <n v="633"/>
    <s v="+91-8694130765"/>
  </r>
  <r>
    <x v="393"/>
    <x v="26"/>
    <n v="54"/>
    <x v="0"/>
    <s v="A-"/>
    <x v="7"/>
    <x v="5"/>
    <x v="2"/>
    <n v="1160"/>
    <n v="4136"/>
    <n v="6343"/>
    <n v="11562"/>
    <n v="23201"/>
    <x v="244"/>
    <x v="124"/>
    <x v="7"/>
    <s v="Card"/>
    <s v="Under Treatment"/>
    <n v="760"/>
    <s v="+91-7442582315"/>
  </r>
  <r>
    <x v="394"/>
    <x v="257"/>
    <n v="44"/>
    <x v="1"/>
    <s v="B-"/>
    <x v="7"/>
    <x v="4"/>
    <x v="1"/>
    <n v="1237"/>
    <n v="2991"/>
    <n v="4946"/>
    <n v="3161"/>
    <n v="12335"/>
    <x v="184"/>
    <x v="183"/>
    <x v="2"/>
    <s v="UPI"/>
    <s v="Discharged"/>
    <n v="888"/>
    <s v="+91-9631453750"/>
  </r>
  <r>
    <x v="395"/>
    <x v="258"/>
    <n v="46"/>
    <x v="1"/>
    <s v="B+"/>
    <x v="7"/>
    <x v="0"/>
    <x v="7"/>
    <n v="629"/>
    <n v="4885"/>
    <n v="2636"/>
    <n v="3986"/>
    <n v="12136"/>
    <x v="245"/>
    <x v="241"/>
    <x v="9"/>
    <s v="Cash"/>
    <s v="Admitted"/>
    <n v="424"/>
    <s v="+91-8467566824"/>
  </r>
  <r>
    <x v="396"/>
    <x v="113"/>
    <n v="34"/>
    <x v="1"/>
    <s v="AB-"/>
    <x v="3"/>
    <x v="2"/>
    <x v="4"/>
    <n v="1451"/>
    <n v="784"/>
    <n v="5752"/>
    <n v="6192"/>
    <n v="14179"/>
    <x v="149"/>
    <x v="242"/>
    <x v="8"/>
    <s v="Card"/>
    <s v="Under Treatment"/>
    <n v="408"/>
    <s v="+91-6521795675"/>
  </r>
  <r>
    <x v="397"/>
    <x v="33"/>
    <n v="64"/>
    <x v="0"/>
    <s v="AB-"/>
    <x v="7"/>
    <x v="1"/>
    <x v="13"/>
    <n v="619"/>
    <n v="535"/>
    <n v="6349"/>
    <n v="9948"/>
    <n v="17451"/>
    <x v="83"/>
    <x v="243"/>
    <x v="2"/>
    <s v="Card"/>
    <s v="Under Treatment"/>
    <n v="846"/>
    <s v="+91-9895023311"/>
  </r>
  <r>
    <x v="398"/>
    <x v="259"/>
    <n v="15"/>
    <x v="1"/>
    <s v="AB-"/>
    <x v="2"/>
    <x v="1"/>
    <x v="0"/>
    <n v="1428"/>
    <n v="1457"/>
    <n v="2823"/>
    <n v="1406"/>
    <n v="7114"/>
    <x v="246"/>
    <x v="166"/>
    <x v="7"/>
    <s v="Cash"/>
    <s v="Discharged"/>
    <n v="156"/>
    <s v="+91-8611989536"/>
  </r>
  <r>
    <x v="399"/>
    <x v="108"/>
    <n v="68"/>
    <x v="0"/>
    <s v="AB+"/>
    <x v="6"/>
    <x v="0"/>
    <x v="4"/>
    <n v="346"/>
    <n v="1184"/>
    <n v="4710"/>
    <n v="14917"/>
    <n v="21157"/>
    <x v="247"/>
    <x v="177"/>
    <x v="5"/>
    <s v="Insurance"/>
    <s v="Discharged"/>
    <n v="717"/>
    <s v="+91-8598789449"/>
  </r>
  <r>
    <x v="400"/>
    <x v="260"/>
    <n v="47"/>
    <x v="1"/>
    <s v="O+"/>
    <x v="3"/>
    <x v="4"/>
    <x v="14"/>
    <n v="1057"/>
    <n v="3663"/>
    <n v="3354"/>
    <n v="1199"/>
    <n v="9273"/>
    <x v="248"/>
    <x v="188"/>
    <x v="8"/>
    <s v="Cash"/>
    <s v="Admitted"/>
    <n v="845"/>
    <s v="+91-9813092901"/>
  </r>
  <r>
    <x v="401"/>
    <x v="261"/>
    <n v="57"/>
    <x v="1"/>
    <s v="B-"/>
    <x v="3"/>
    <x v="1"/>
    <x v="14"/>
    <n v="1148"/>
    <n v="1643"/>
    <n v="7144"/>
    <n v="10620"/>
    <n v="20555"/>
    <x v="249"/>
    <x v="221"/>
    <x v="9"/>
    <s v="Insurance"/>
    <s v="Under Treatment"/>
    <n v="443"/>
    <s v="+91-6283965102"/>
  </r>
  <r>
    <x v="402"/>
    <x v="239"/>
    <n v="12"/>
    <x v="0"/>
    <s v="B-"/>
    <x v="5"/>
    <x v="0"/>
    <x v="10"/>
    <n v="1148"/>
    <n v="1932"/>
    <n v="4853"/>
    <n v="8571"/>
    <n v="16504"/>
    <x v="250"/>
    <x v="244"/>
    <x v="9"/>
    <s v="Insurance"/>
    <s v="Discharged"/>
    <n v="667"/>
    <s v="+91-8107049214"/>
  </r>
  <r>
    <x v="403"/>
    <x v="158"/>
    <n v="75"/>
    <x v="1"/>
    <s v="AB-"/>
    <x v="7"/>
    <x v="5"/>
    <x v="1"/>
    <n v="759"/>
    <n v="719"/>
    <n v="6781"/>
    <n v="1040"/>
    <n v="9299"/>
    <x v="251"/>
    <x v="245"/>
    <x v="2"/>
    <s v="UPI"/>
    <s v="Discharged"/>
    <n v="283"/>
    <s v="+91-8112636421"/>
  </r>
  <r>
    <x v="404"/>
    <x v="262"/>
    <n v="16"/>
    <x v="1"/>
    <s v="A-"/>
    <x v="7"/>
    <x v="1"/>
    <x v="6"/>
    <n v="1040"/>
    <n v="4436"/>
    <n v="4933"/>
    <n v="8144"/>
    <n v="18553"/>
    <x v="164"/>
    <x v="239"/>
    <x v="4"/>
    <s v="Cash"/>
    <s v="Discharged"/>
    <n v="266"/>
    <s v="+91-8498187046"/>
  </r>
  <r>
    <x v="405"/>
    <x v="258"/>
    <n v="41"/>
    <x v="1"/>
    <s v="A+"/>
    <x v="3"/>
    <x v="1"/>
    <x v="2"/>
    <n v="634"/>
    <n v="933"/>
    <n v="2533"/>
    <n v="6917"/>
    <n v="11017"/>
    <x v="78"/>
    <x v="246"/>
    <x v="8"/>
    <s v="UPI"/>
    <s v="Under Treatment"/>
    <n v="754"/>
    <s v="+91-6329968072"/>
  </r>
  <r>
    <x v="406"/>
    <x v="263"/>
    <n v="81"/>
    <x v="0"/>
    <s v="O-"/>
    <x v="4"/>
    <x v="5"/>
    <x v="7"/>
    <n v="1413"/>
    <n v="3142"/>
    <n v="7447"/>
    <n v="6180"/>
    <n v="18182"/>
    <x v="76"/>
    <x v="176"/>
    <x v="2"/>
    <s v="UPI"/>
    <s v="Admitted"/>
    <n v="113"/>
    <s v="+91-6588193385"/>
  </r>
  <r>
    <x v="407"/>
    <x v="264"/>
    <n v="48"/>
    <x v="1"/>
    <s v="A-"/>
    <x v="5"/>
    <x v="4"/>
    <x v="13"/>
    <n v="633"/>
    <n v="1339"/>
    <n v="2084"/>
    <n v="3532"/>
    <n v="7588"/>
    <x v="252"/>
    <x v="151"/>
    <x v="7"/>
    <s v="Insurance"/>
    <s v="Admitted"/>
    <n v="219"/>
    <s v="+91-9516911409"/>
  </r>
  <r>
    <x v="408"/>
    <x v="265"/>
    <n v="62"/>
    <x v="1"/>
    <s v="O+"/>
    <x v="6"/>
    <x v="5"/>
    <x v="2"/>
    <n v="584"/>
    <n v="4120"/>
    <n v="7588"/>
    <n v="10791"/>
    <n v="23083"/>
    <x v="75"/>
    <x v="224"/>
    <x v="9"/>
    <s v="Cash"/>
    <s v="Admitted"/>
    <n v="231"/>
    <s v="+91-9679993305"/>
  </r>
  <r>
    <x v="409"/>
    <x v="74"/>
    <n v="40"/>
    <x v="0"/>
    <s v="AB-"/>
    <x v="0"/>
    <x v="6"/>
    <x v="0"/>
    <n v="460"/>
    <n v="3980"/>
    <n v="5959"/>
    <n v="13501"/>
    <n v="23900"/>
    <x v="228"/>
    <x v="247"/>
    <x v="0"/>
    <s v="Insurance"/>
    <s v="Admitted"/>
    <n v="301"/>
    <s v="+91-6463072131"/>
  </r>
  <r>
    <x v="410"/>
    <x v="226"/>
    <n v="76"/>
    <x v="0"/>
    <s v="A-"/>
    <x v="7"/>
    <x v="2"/>
    <x v="11"/>
    <n v="818"/>
    <n v="854"/>
    <n v="842"/>
    <n v="5942"/>
    <n v="8456"/>
    <x v="201"/>
    <x v="190"/>
    <x v="5"/>
    <s v="Card"/>
    <s v="Under Treatment"/>
    <n v="304"/>
    <s v="+91-6793631899"/>
  </r>
  <r>
    <x v="411"/>
    <x v="266"/>
    <n v="12"/>
    <x v="0"/>
    <s v="A-"/>
    <x v="6"/>
    <x v="5"/>
    <x v="2"/>
    <n v="1021"/>
    <n v="1815"/>
    <n v="7305"/>
    <n v="9202"/>
    <n v="19343"/>
    <x v="18"/>
    <x v="248"/>
    <x v="3"/>
    <s v="Cash"/>
    <s v="Under Treatment"/>
    <n v="322"/>
    <s v="+91-9074387556"/>
  </r>
  <r>
    <x v="412"/>
    <x v="10"/>
    <n v="22"/>
    <x v="0"/>
    <s v="A-"/>
    <x v="4"/>
    <x v="0"/>
    <x v="4"/>
    <n v="1332"/>
    <n v="4388"/>
    <n v="3302"/>
    <n v="12438"/>
    <n v="21460"/>
    <x v="125"/>
    <x v="111"/>
    <x v="4"/>
    <s v="UPI"/>
    <s v="Discharged"/>
    <n v="534"/>
    <s v="+91-6920299834"/>
  </r>
  <r>
    <x v="413"/>
    <x v="152"/>
    <n v="53"/>
    <x v="0"/>
    <s v="A+"/>
    <x v="1"/>
    <x v="5"/>
    <x v="11"/>
    <n v="1254"/>
    <n v="1403"/>
    <n v="4557"/>
    <n v="3226"/>
    <n v="10440"/>
    <x v="253"/>
    <x v="120"/>
    <x v="2"/>
    <s v="UPI"/>
    <s v="Discharged"/>
    <n v="218"/>
    <s v="+91-7652622320"/>
  </r>
  <r>
    <x v="414"/>
    <x v="267"/>
    <n v="77"/>
    <x v="1"/>
    <s v="O-"/>
    <x v="7"/>
    <x v="0"/>
    <x v="3"/>
    <n v="1434"/>
    <n v="3836"/>
    <n v="2680"/>
    <n v="8011"/>
    <n v="15961"/>
    <x v="173"/>
    <x v="249"/>
    <x v="4"/>
    <s v="Cash"/>
    <s v="Under Treatment"/>
    <n v="603"/>
    <s v="+91-8886628103"/>
  </r>
  <r>
    <x v="415"/>
    <x v="24"/>
    <n v="57"/>
    <x v="0"/>
    <s v="O-"/>
    <x v="4"/>
    <x v="0"/>
    <x v="0"/>
    <n v="1108"/>
    <n v="3781"/>
    <n v="5993"/>
    <n v="10675"/>
    <n v="21557"/>
    <x v="254"/>
    <x v="114"/>
    <x v="5"/>
    <s v="UPI"/>
    <s v="Admitted"/>
    <n v="709"/>
    <s v="+91-9625079075"/>
  </r>
  <r>
    <x v="416"/>
    <x v="268"/>
    <n v="30"/>
    <x v="1"/>
    <s v="AB-"/>
    <x v="7"/>
    <x v="3"/>
    <x v="10"/>
    <n v="1491"/>
    <n v="2736"/>
    <n v="6495"/>
    <n v="13935"/>
    <n v="24657"/>
    <x v="63"/>
    <x v="23"/>
    <x v="8"/>
    <s v="Insurance"/>
    <s v="Discharged"/>
    <n v="623"/>
    <s v="+91-7197826153"/>
  </r>
  <r>
    <x v="417"/>
    <x v="113"/>
    <n v="14"/>
    <x v="0"/>
    <s v="A-"/>
    <x v="6"/>
    <x v="4"/>
    <x v="15"/>
    <n v="1318"/>
    <n v="2390"/>
    <n v="5447"/>
    <n v="3205"/>
    <n v="12360"/>
    <x v="140"/>
    <x v="82"/>
    <x v="0"/>
    <s v="Cash"/>
    <s v="Admitted"/>
    <n v="491"/>
    <s v="+91-8596668166"/>
  </r>
  <r>
    <x v="418"/>
    <x v="269"/>
    <n v="39"/>
    <x v="0"/>
    <s v="O+"/>
    <x v="4"/>
    <x v="2"/>
    <x v="15"/>
    <n v="1254"/>
    <n v="2154"/>
    <n v="2704"/>
    <n v="11847"/>
    <n v="17959"/>
    <x v="169"/>
    <x v="207"/>
    <x v="3"/>
    <s v="UPI"/>
    <s v="Under Treatment"/>
    <n v="659"/>
    <s v="+91-6075893742"/>
  </r>
  <r>
    <x v="419"/>
    <x v="44"/>
    <n v="16"/>
    <x v="1"/>
    <s v="O+"/>
    <x v="7"/>
    <x v="3"/>
    <x v="13"/>
    <n v="1070"/>
    <n v="4125"/>
    <n v="4065"/>
    <n v="1589"/>
    <n v="10849"/>
    <x v="88"/>
    <x v="250"/>
    <x v="3"/>
    <s v="Card"/>
    <s v="Discharged"/>
    <n v="541"/>
    <s v="+91-6577622607"/>
  </r>
  <r>
    <x v="420"/>
    <x v="270"/>
    <n v="63"/>
    <x v="0"/>
    <s v="AB+"/>
    <x v="7"/>
    <x v="2"/>
    <x v="15"/>
    <n v="1274"/>
    <n v="1780"/>
    <n v="4450"/>
    <n v="1913"/>
    <n v="9417"/>
    <x v="255"/>
    <x v="245"/>
    <x v="4"/>
    <s v="UPI"/>
    <s v="Discharged"/>
    <n v="428"/>
    <s v="+91-6263813981"/>
  </r>
  <r>
    <x v="421"/>
    <x v="197"/>
    <n v="6"/>
    <x v="0"/>
    <s v="AB+"/>
    <x v="1"/>
    <x v="1"/>
    <x v="2"/>
    <n v="1495"/>
    <n v="720"/>
    <n v="6568"/>
    <n v="11242"/>
    <n v="20025"/>
    <x v="256"/>
    <x v="3"/>
    <x v="5"/>
    <s v="UPI"/>
    <s v="Discharged"/>
    <n v="459"/>
    <s v="+91-6242447651"/>
  </r>
  <r>
    <x v="422"/>
    <x v="203"/>
    <n v="31"/>
    <x v="1"/>
    <s v="A+"/>
    <x v="4"/>
    <x v="4"/>
    <x v="6"/>
    <n v="924"/>
    <n v="1437"/>
    <n v="3065"/>
    <n v="3781"/>
    <n v="9207"/>
    <x v="244"/>
    <x v="251"/>
    <x v="8"/>
    <s v="Insurance"/>
    <s v="Under Treatment"/>
    <n v="627"/>
    <s v="+91-9871525815"/>
  </r>
  <r>
    <x v="423"/>
    <x v="190"/>
    <n v="3"/>
    <x v="1"/>
    <s v="B-"/>
    <x v="2"/>
    <x v="1"/>
    <x v="13"/>
    <n v="1073"/>
    <n v="3697"/>
    <n v="2941"/>
    <n v="10380"/>
    <n v="18091"/>
    <x v="212"/>
    <x v="252"/>
    <x v="5"/>
    <s v="Insurance"/>
    <s v="Under Treatment"/>
    <n v="930"/>
    <s v="+91-9285237219"/>
  </r>
  <r>
    <x v="424"/>
    <x v="271"/>
    <n v="79"/>
    <x v="1"/>
    <s v="O+"/>
    <x v="1"/>
    <x v="1"/>
    <x v="14"/>
    <n v="713"/>
    <n v="4571"/>
    <n v="5505"/>
    <n v="14882"/>
    <n v="25671"/>
    <x v="146"/>
    <x v="138"/>
    <x v="7"/>
    <s v="Cash"/>
    <s v="Discharged"/>
    <n v="687"/>
    <s v="+91-7726694320"/>
  </r>
  <r>
    <x v="425"/>
    <x v="115"/>
    <n v="12"/>
    <x v="0"/>
    <s v="O+"/>
    <x v="1"/>
    <x v="2"/>
    <x v="10"/>
    <n v="437"/>
    <n v="4850"/>
    <n v="4193"/>
    <n v="7997"/>
    <n v="17477"/>
    <x v="257"/>
    <x v="99"/>
    <x v="5"/>
    <s v="UPI"/>
    <s v="Discharged"/>
    <n v="779"/>
    <s v="+91-8319057193"/>
  </r>
  <r>
    <x v="426"/>
    <x v="235"/>
    <n v="54"/>
    <x v="1"/>
    <s v="B+"/>
    <x v="6"/>
    <x v="2"/>
    <x v="1"/>
    <n v="1421"/>
    <n v="1979"/>
    <n v="7516"/>
    <n v="1304"/>
    <n v="12220"/>
    <x v="258"/>
    <x v="98"/>
    <x v="3"/>
    <s v="Insurance"/>
    <s v="Admitted"/>
    <n v="776"/>
    <s v="+91-9538657911"/>
  </r>
  <r>
    <x v="427"/>
    <x v="105"/>
    <n v="82"/>
    <x v="1"/>
    <s v="AB+"/>
    <x v="2"/>
    <x v="4"/>
    <x v="4"/>
    <n v="1046"/>
    <n v="4288"/>
    <n v="1510"/>
    <n v="4938"/>
    <n v="11782"/>
    <x v="156"/>
    <x v="35"/>
    <x v="2"/>
    <s v="UPI"/>
    <s v="Admitted"/>
    <n v="749"/>
    <s v="+91-6874275114"/>
  </r>
  <r>
    <x v="428"/>
    <x v="190"/>
    <n v="37"/>
    <x v="0"/>
    <s v="O+"/>
    <x v="6"/>
    <x v="4"/>
    <x v="3"/>
    <n v="1131"/>
    <n v="2453"/>
    <n v="1230"/>
    <n v="3456"/>
    <n v="8270"/>
    <x v="22"/>
    <x v="168"/>
    <x v="7"/>
    <s v="Insurance"/>
    <s v="Under Treatment"/>
    <n v="546"/>
    <s v="+91-7812558340"/>
  </r>
  <r>
    <x v="429"/>
    <x v="85"/>
    <n v="21"/>
    <x v="1"/>
    <s v="AB-"/>
    <x v="3"/>
    <x v="6"/>
    <x v="5"/>
    <n v="829"/>
    <n v="2775"/>
    <n v="5695"/>
    <n v="10022"/>
    <n v="19321"/>
    <x v="259"/>
    <x v="253"/>
    <x v="0"/>
    <s v="Cash"/>
    <s v="Admitted"/>
    <n v="980"/>
    <s v="+91-9850461711"/>
  </r>
  <r>
    <x v="430"/>
    <x v="46"/>
    <n v="78"/>
    <x v="1"/>
    <s v="A-"/>
    <x v="4"/>
    <x v="2"/>
    <x v="14"/>
    <n v="1044"/>
    <n v="1239"/>
    <n v="3551"/>
    <n v="14759"/>
    <n v="20593"/>
    <x v="137"/>
    <x v="254"/>
    <x v="5"/>
    <s v="UPI"/>
    <s v="Discharged"/>
    <n v="192"/>
    <s v="+91-7022532318"/>
  </r>
  <r>
    <x v="431"/>
    <x v="272"/>
    <n v="41"/>
    <x v="1"/>
    <s v="AB-"/>
    <x v="5"/>
    <x v="4"/>
    <x v="3"/>
    <n v="1166"/>
    <n v="2285"/>
    <n v="1481"/>
    <n v="2750"/>
    <n v="7682"/>
    <x v="245"/>
    <x v="11"/>
    <x v="2"/>
    <s v="UPI"/>
    <s v="Under Treatment"/>
    <n v="157"/>
    <s v="+91-8106074066"/>
  </r>
  <r>
    <x v="432"/>
    <x v="273"/>
    <n v="15"/>
    <x v="1"/>
    <s v="O-"/>
    <x v="5"/>
    <x v="6"/>
    <x v="15"/>
    <n v="804"/>
    <n v="2775"/>
    <n v="7504"/>
    <n v="13849"/>
    <n v="24932"/>
    <x v="240"/>
    <x v="255"/>
    <x v="4"/>
    <s v="UPI"/>
    <s v="Admitted"/>
    <n v="760"/>
    <s v="+91-9887930807"/>
  </r>
  <r>
    <x v="433"/>
    <x v="71"/>
    <n v="85"/>
    <x v="0"/>
    <s v="B-"/>
    <x v="0"/>
    <x v="6"/>
    <x v="10"/>
    <n v="1431"/>
    <n v="3651"/>
    <n v="2833"/>
    <n v="11468"/>
    <n v="19383"/>
    <x v="171"/>
    <x v="255"/>
    <x v="5"/>
    <s v="Insurance"/>
    <s v="Discharged"/>
    <n v="108"/>
    <s v="+91-9907514416"/>
  </r>
  <r>
    <x v="434"/>
    <x v="34"/>
    <n v="39"/>
    <x v="0"/>
    <s v="A+"/>
    <x v="0"/>
    <x v="1"/>
    <x v="9"/>
    <n v="730"/>
    <n v="1812"/>
    <n v="7802"/>
    <n v="8190"/>
    <n v="18534"/>
    <x v="260"/>
    <x v="256"/>
    <x v="1"/>
    <s v="Cash"/>
    <s v="Discharged"/>
    <n v="582"/>
    <s v="+91-9165141634"/>
  </r>
  <r>
    <x v="435"/>
    <x v="274"/>
    <n v="55"/>
    <x v="0"/>
    <s v="AB-"/>
    <x v="3"/>
    <x v="3"/>
    <x v="10"/>
    <n v="1336"/>
    <n v="1043"/>
    <n v="3182"/>
    <n v="7895"/>
    <n v="13456"/>
    <x v="151"/>
    <x v="257"/>
    <x v="8"/>
    <s v="Cash"/>
    <s v="Admitted"/>
    <n v="756"/>
    <s v="+91-8755618874"/>
  </r>
  <r>
    <x v="436"/>
    <x v="227"/>
    <n v="83"/>
    <x v="0"/>
    <s v="B-"/>
    <x v="2"/>
    <x v="2"/>
    <x v="8"/>
    <n v="709"/>
    <n v="3003"/>
    <n v="2870"/>
    <n v="10434"/>
    <n v="17016"/>
    <x v="119"/>
    <x v="258"/>
    <x v="9"/>
    <s v="Card"/>
    <s v="Under Treatment"/>
    <n v="802"/>
    <s v="+91-7762294656"/>
  </r>
  <r>
    <x v="437"/>
    <x v="275"/>
    <n v="62"/>
    <x v="0"/>
    <s v="AB+"/>
    <x v="6"/>
    <x v="4"/>
    <x v="7"/>
    <n v="970"/>
    <n v="2808"/>
    <n v="1927"/>
    <n v="2382"/>
    <n v="8087"/>
    <x v="50"/>
    <x v="34"/>
    <x v="9"/>
    <s v="Card"/>
    <s v="Admitted"/>
    <n v="123"/>
    <s v="+91-9964737348"/>
  </r>
  <r>
    <x v="438"/>
    <x v="126"/>
    <n v="81"/>
    <x v="0"/>
    <s v="AB+"/>
    <x v="4"/>
    <x v="2"/>
    <x v="1"/>
    <n v="706"/>
    <n v="2644"/>
    <n v="6044"/>
    <n v="14956"/>
    <n v="24350"/>
    <x v="165"/>
    <x v="56"/>
    <x v="1"/>
    <s v="UPI"/>
    <s v="Admitted"/>
    <n v="191"/>
    <s v="+91-7580205025"/>
  </r>
  <r>
    <x v="439"/>
    <x v="179"/>
    <n v="16"/>
    <x v="0"/>
    <s v="O+"/>
    <x v="5"/>
    <x v="3"/>
    <x v="1"/>
    <n v="1312"/>
    <n v="1470"/>
    <n v="2138"/>
    <n v="12691"/>
    <n v="17611"/>
    <x v="19"/>
    <x v="38"/>
    <x v="2"/>
    <s v="Insurance"/>
    <s v="Discharged"/>
    <n v="233"/>
    <s v="+91-7852456283"/>
  </r>
  <r>
    <x v="440"/>
    <x v="119"/>
    <n v="28"/>
    <x v="1"/>
    <s v="B-"/>
    <x v="0"/>
    <x v="2"/>
    <x v="14"/>
    <n v="669"/>
    <n v="3846"/>
    <n v="6791"/>
    <n v="3391"/>
    <n v="14697"/>
    <x v="261"/>
    <x v="259"/>
    <x v="2"/>
    <s v="Insurance"/>
    <s v="Admitted"/>
    <n v="478"/>
    <s v="+91-8503549632"/>
  </r>
  <r>
    <x v="441"/>
    <x v="276"/>
    <n v="2"/>
    <x v="1"/>
    <s v="O+"/>
    <x v="3"/>
    <x v="5"/>
    <x v="13"/>
    <n v="1114"/>
    <n v="2238"/>
    <n v="6143"/>
    <n v="7283"/>
    <n v="16778"/>
    <x v="262"/>
    <x v="260"/>
    <x v="6"/>
    <s v="Cash"/>
    <s v="Under Treatment"/>
    <n v="160"/>
    <s v="+91-6223821957"/>
  </r>
  <r>
    <x v="442"/>
    <x v="17"/>
    <n v="61"/>
    <x v="1"/>
    <s v="B+"/>
    <x v="2"/>
    <x v="2"/>
    <x v="5"/>
    <n v="819"/>
    <n v="4633"/>
    <n v="5376"/>
    <n v="7241"/>
    <n v="18069"/>
    <x v="35"/>
    <x v="5"/>
    <x v="8"/>
    <s v="Cash"/>
    <s v="Under Treatment"/>
    <n v="283"/>
    <s v="+91-7117944144"/>
  </r>
  <r>
    <x v="443"/>
    <x v="196"/>
    <n v="64"/>
    <x v="1"/>
    <s v="A-"/>
    <x v="7"/>
    <x v="1"/>
    <x v="0"/>
    <n v="483"/>
    <n v="3099"/>
    <n v="6118"/>
    <n v="9690"/>
    <n v="19390"/>
    <x v="263"/>
    <x v="178"/>
    <x v="2"/>
    <s v="Cash"/>
    <s v="Admitted"/>
    <n v="611"/>
    <s v="+91-9743835172"/>
  </r>
  <r>
    <x v="444"/>
    <x v="96"/>
    <n v="56"/>
    <x v="1"/>
    <s v="AB-"/>
    <x v="6"/>
    <x v="5"/>
    <x v="10"/>
    <n v="1358"/>
    <n v="3064"/>
    <n v="3869"/>
    <n v="3703"/>
    <n v="11994"/>
    <x v="40"/>
    <x v="207"/>
    <x v="9"/>
    <s v="Card"/>
    <s v="Admitted"/>
    <n v="155"/>
    <s v="+91-6987243526"/>
  </r>
  <r>
    <x v="445"/>
    <x v="277"/>
    <n v="61"/>
    <x v="1"/>
    <s v="AB-"/>
    <x v="3"/>
    <x v="4"/>
    <x v="1"/>
    <n v="1193"/>
    <n v="1450"/>
    <n v="7633"/>
    <n v="9108"/>
    <n v="19384"/>
    <x v="16"/>
    <x v="261"/>
    <x v="8"/>
    <s v="Insurance"/>
    <s v="Admitted"/>
    <n v="966"/>
    <s v="+91-9091362681"/>
  </r>
  <r>
    <x v="446"/>
    <x v="278"/>
    <n v="45"/>
    <x v="0"/>
    <s v="B-"/>
    <x v="0"/>
    <x v="2"/>
    <x v="9"/>
    <n v="669"/>
    <n v="1878"/>
    <n v="6443"/>
    <n v="9335"/>
    <n v="18325"/>
    <x v="264"/>
    <x v="107"/>
    <x v="6"/>
    <s v="Cash"/>
    <s v="Under Treatment"/>
    <n v="885"/>
    <s v="+91-8451514991"/>
  </r>
  <r>
    <x v="447"/>
    <x v="279"/>
    <n v="10"/>
    <x v="0"/>
    <s v="O-"/>
    <x v="7"/>
    <x v="2"/>
    <x v="11"/>
    <n v="973"/>
    <n v="712"/>
    <n v="2628"/>
    <n v="12162"/>
    <n v="16475"/>
    <x v="265"/>
    <x v="93"/>
    <x v="1"/>
    <s v="Cash"/>
    <s v="Discharged"/>
    <n v="257"/>
    <s v="+91-6124015059"/>
  </r>
  <r>
    <x v="448"/>
    <x v="91"/>
    <n v="85"/>
    <x v="1"/>
    <s v="B+"/>
    <x v="7"/>
    <x v="0"/>
    <x v="10"/>
    <n v="311"/>
    <n v="3198"/>
    <n v="659"/>
    <n v="11750"/>
    <n v="15918"/>
    <x v="266"/>
    <x v="262"/>
    <x v="8"/>
    <s v="Cash"/>
    <s v="Under Treatment"/>
    <n v="389"/>
    <s v="+91-7388008205"/>
  </r>
  <r>
    <x v="449"/>
    <x v="120"/>
    <n v="71"/>
    <x v="1"/>
    <s v="B-"/>
    <x v="4"/>
    <x v="0"/>
    <x v="8"/>
    <n v="822"/>
    <n v="1958"/>
    <n v="2266"/>
    <n v="13630"/>
    <n v="18676"/>
    <x v="189"/>
    <x v="121"/>
    <x v="0"/>
    <s v="Insurance"/>
    <s v="Discharged"/>
    <n v="391"/>
    <s v="+91-8779565402"/>
  </r>
  <r>
    <x v="450"/>
    <x v="278"/>
    <n v="39"/>
    <x v="1"/>
    <s v="AB-"/>
    <x v="5"/>
    <x v="4"/>
    <x v="9"/>
    <n v="568"/>
    <n v="3441"/>
    <n v="5751"/>
    <n v="2574"/>
    <n v="12334"/>
    <x v="59"/>
    <x v="69"/>
    <x v="7"/>
    <s v="Insurance"/>
    <s v="Discharged"/>
    <n v="374"/>
    <s v="+91-8418311717"/>
  </r>
  <r>
    <x v="451"/>
    <x v="241"/>
    <n v="12"/>
    <x v="1"/>
    <s v="B-"/>
    <x v="1"/>
    <x v="3"/>
    <x v="7"/>
    <n v="1189"/>
    <n v="3989"/>
    <n v="1061"/>
    <n v="1662"/>
    <n v="7901"/>
    <x v="181"/>
    <x v="7"/>
    <x v="4"/>
    <s v="Card"/>
    <s v="Discharged"/>
    <n v="639"/>
    <s v="+91-8703937817"/>
  </r>
  <r>
    <x v="452"/>
    <x v="280"/>
    <n v="38"/>
    <x v="1"/>
    <s v="AB+"/>
    <x v="5"/>
    <x v="1"/>
    <x v="6"/>
    <n v="1278"/>
    <n v="2960"/>
    <n v="1517"/>
    <n v="3093"/>
    <n v="8848"/>
    <x v="76"/>
    <x v="95"/>
    <x v="7"/>
    <s v="Cash"/>
    <s v="Under Treatment"/>
    <n v="178"/>
    <s v="+91-9939782161"/>
  </r>
  <r>
    <x v="453"/>
    <x v="226"/>
    <n v="14"/>
    <x v="1"/>
    <s v="A+"/>
    <x v="5"/>
    <x v="5"/>
    <x v="11"/>
    <n v="1251"/>
    <n v="2575"/>
    <n v="3211"/>
    <n v="5175"/>
    <n v="12212"/>
    <x v="30"/>
    <x v="263"/>
    <x v="3"/>
    <s v="Insurance"/>
    <s v="Admitted"/>
    <n v="905"/>
    <s v="+91-6782577962"/>
  </r>
  <r>
    <x v="454"/>
    <x v="281"/>
    <n v="11"/>
    <x v="1"/>
    <s v="B-"/>
    <x v="6"/>
    <x v="0"/>
    <x v="13"/>
    <n v="1231"/>
    <n v="4185"/>
    <n v="5410"/>
    <n v="14235"/>
    <n v="25061"/>
    <x v="155"/>
    <x v="7"/>
    <x v="9"/>
    <s v="Cash"/>
    <s v="Under Treatment"/>
    <n v="718"/>
    <s v="+91-7113760908"/>
  </r>
  <r>
    <x v="455"/>
    <x v="282"/>
    <n v="69"/>
    <x v="0"/>
    <s v="AB-"/>
    <x v="2"/>
    <x v="1"/>
    <x v="8"/>
    <n v="538"/>
    <n v="608"/>
    <n v="1706"/>
    <n v="11744"/>
    <n v="14596"/>
    <x v="267"/>
    <x v="36"/>
    <x v="1"/>
    <s v="UPI"/>
    <s v="Under Treatment"/>
    <n v="789"/>
    <s v="+91-8964787371"/>
  </r>
  <r>
    <x v="456"/>
    <x v="283"/>
    <n v="12"/>
    <x v="0"/>
    <s v="B-"/>
    <x v="3"/>
    <x v="4"/>
    <x v="5"/>
    <n v="690"/>
    <n v="1416"/>
    <n v="6984"/>
    <n v="1260"/>
    <n v="10350"/>
    <x v="27"/>
    <x v="202"/>
    <x v="0"/>
    <s v="Card"/>
    <s v="Under Treatment"/>
    <n v="347"/>
    <s v="+91-7871697244"/>
  </r>
  <r>
    <x v="457"/>
    <x v="1"/>
    <n v="12"/>
    <x v="1"/>
    <s v="AB-"/>
    <x v="7"/>
    <x v="4"/>
    <x v="0"/>
    <n v="1270"/>
    <n v="3956"/>
    <n v="478"/>
    <n v="2908"/>
    <n v="8612"/>
    <x v="206"/>
    <x v="264"/>
    <x v="4"/>
    <s v="Cash"/>
    <s v="Discharged"/>
    <n v="699"/>
    <s v="+91-7042086420"/>
  </r>
  <r>
    <x v="458"/>
    <x v="10"/>
    <n v="73"/>
    <x v="1"/>
    <s v="O+"/>
    <x v="2"/>
    <x v="5"/>
    <x v="13"/>
    <n v="316"/>
    <n v="1341"/>
    <n v="5464"/>
    <n v="14887"/>
    <n v="22008"/>
    <x v="263"/>
    <x v="265"/>
    <x v="4"/>
    <s v="Insurance"/>
    <s v="Discharged"/>
    <n v="597"/>
    <s v="+91-8204846019"/>
  </r>
  <r>
    <x v="459"/>
    <x v="188"/>
    <n v="63"/>
    <x v="0"/>
    <s v="AB-"/>
    <x v="2"/>
    <x v="5"/>
    <x v="5"/>
    <n v="1164"/>
    <n v="3087"/>
    <n v="4832"/>
    <n v="2040"/>
    <n v="11123"/>
    <x v="46"/>
    <x v="103"/>
    <x v="1"/>
    <s v="Insurance"/>
    <s v="Under Treatment"/>
    <n v="761"/>
    <s v="+91-7489340533"/>
  </r>
  <r>
    <x v="460"/>
    <x v="261"/>
    <n v="3"/>
    <x v="0"/>
    <s v="O-"/>
    <x v="6"/>
    <x v="2"/>
    <x v="4"/>
    <n v="1261"/>
    <n v="3316"/>
    <n v="3889"/>
    <n v="4802"/>
    <n v="13268"/>
    <x v="83"/>
    <x v="149"/>
    <x v="6"/>
    <s v="Insurance"/>
    <s v="Admitted"/>
    <n v="400"/>
    <s v="+91-9105239895"/>
  </r>
  <r>
    <x v="461"/>
    <x v="32"/>
    <n v="84"/>
    <x v="1"/>
    <s v="B+"/>
    <x v="7"/>
    <x v="0"/>
    <x v="7"/>
    <n v="724"/>
    <n v="2813"/>
    <n v="5958"/>
    <n v="13275"/>
    <n v="22770"/>
    <x v="213"/>
    <x v="234"/>
    <x v="4"/>
    <s v="Card"/>
    <s v="Admitted"/>
    <n v="720"/>
    <s v="+91-8113921661"/>
  </r>
  <r>
    <x v="462"/>
    <x v="282"/>
    <n v="64"/>
    <x v="1"/>
    <s v="B+"/>
    <x v="0"/>
    <x v="6"/>
    <x v="4"/>
    <n v="1440"/>
    <n v="885"/>
    <n v="448"/>
    <n v="6878"/>
    <n v="9651"/>
    <x v="32"/>
    <x v="266"/>
    <x v="9"/>
    <s v="Cash"/>
    <s v="Admitted"/>
    <n v="445"/>
    <s v="+91-7849500820"/>
  </r>
  <r>
    <x v="463"/>
    <x v="251"/>
    <n v="30"/>
    <x v="0"/>
    <s v="B+"/>
    <x v="0"/>
    <x v="6"/>
    <x v="15"/>
    <n v="828"/>
    <n v="3287"/>
    <n v="6729"/>
    <n v="6820"/>
    <n v="17664"/>
    <x v="142"/>
    <x v="267"/>
    <x v="2"/>
    <s v="Cash"/>
    <s v="Under Treatment"/>
    <n v="151"/>
    <s v="+91-9979854542"/>
  </r>
  <r>
    <x v="464"/>
    <x v="202"/>
    <n v="15"/>
    <x v="0"/>
    <s v="B+"/>
    <x v="4"/>
    <x v="3"/>
    <x v="12"/>
    <n v="1338"/>
    <n v="1363"/>
    <n v="1668"/>
    <n v="11320"/>
    <n v="15689"/>
    <x v="107"/>
    <x v="131"/>
    <x v="8"/>
    <s v="UPI"/>
    <s v="Under Treatment"/>
    <n v="552"/>
    <s v="+91-9272613422"/>
  </r>
  <r>
    <x v="465"/>
    <x v="208"/>
    <n v="13"/>
    <x v="0"/>
    <s v="B-"/>
    <x v="1"/>
    <x v="6"/>
    <x v="13"/>
    <n v="582"/>
    <n v="1507"/>
    <n v="7251"/>
    <n v="4307"/>
    <n v="13647"/>
    <x v="188"/>
    <x v="265"/>
    <x v="0"/>
    <s v="Insurance"/>
    <s v="Discharged"/>
    <n v="393"/>
    <s v="+91-8169056122"/>
  </r>
  <r>
    <x v="466"/>
    <x v="16"/>
    <n v="35"/>
    <x v="1"/>
    <s v="B+"/>
    <x v="5"/>
    <x v="6"/>
    <x v="2"/>
    <n v="802"/>
    <n v="1741"/>
    <n v="6470"/>
    <n v="13345"/>
    <n v="22358"/>
    <x v="103"/>
    <x v="25"/>
    <x v="7"/>
    <s v="Insurance"/>
    <s v="Discharged"/>
    <n v="519"/>
    <s v="+91-9857160925"/>
  </r>
  <r>
    <x v="467"/>
    <x v="29"/>
    <n v="47"/>
    <x v="0"/>
    <s v="B+"/>
    <x v="7"/>
    <x v="4"/>
    <x v="0"/>
    <n v="320"/>
    <n v="4738"/>
    <n v="870"/>
    <n v="2389"/>
    <n v="8317"/>
    <x v="10"/>
    <x v="180"/>
    <x v="1"/>
    <s v="Cash"/>
    <s v="Discharged"/>
    <n v="877"/>
    <s v="+91-6159316365"/>
  </r>
  <r>
    <x v="468"/>
    <x v="138"/>
    <n v="8"/>
    <x v="1"/>
    <s v="O+"/>
    <x v="5"/>
    <x v="2"/>
    <x v="8"/>
    <n v="1433"/>
    <n v="2993"/>
    <n v="6210"/>
    <n v="13168"/>
    <n v="23804"/>
    <x v="15"/>
    <x v="188"/>
    <x v="0"/>
    <s v="Card"/>
    <s v="Under Treatment"/>
    <n v="513"/>
    <s v="+91-7916367361"/>
  </r>
  <r>
    <x v="469"/>
    <x v="13"/>
    <n v="80"/>
    <x v="1"/>
    <s v="B+"/>
    <x v="1"/>
    <x v="2"/>
    <x v="8"/>
    <n v="704"/>
    <n v="2970"/>
    <n v="990"/>
    <n v="1605"/>
    <n v="6269"/>
    <x v="24"/>
    <x v="140"/>
    <x v="1"/>
    <s v="UPI"/>
    <s v="Admitted"/>
    <n v="195"/>
    <s v="+91-8197612808"/>
  </r>
  <r>
    <x v="470"/>
    <x v="284"/>
    <n v="67"/>
    <x v="1"/>
    <s v="A-"/>
    <x v="3"/>
    <x v="3"/>
    <x v="5"/>
    <n v="357"/>
    <n v="4923"/>
    <n v="5153"/>
    <n v="5238"/>
    <n v="15671"/>
    <x v="268"/>
    <x v="112"/>
    <x v="1"/>
    <s v="Cash"/>
    <s v="Discharged"/>
    <n v="365"/>
    <s v="+91-8692899551"/>
  </r>
  <r>
    <x v="471"/>
    <x v="163"/>
    <n v="16"/>
    <x v="0"/>
    <s v="B-"/>
    <x v="4"/>
    <x v="1"/>
    <x v="1"/>
    <n v="910"/>
    <n v="542"/>
    <n v="4012"/>
    <n v="6553"/>
    <n v="12017"/>
    <x v="269"/>
    <x v="227"/>
    <x v="6"/>
    <s v="UPI"/>
    <s v="Discharged"/>
    <n v="782"/>
    <s v="+91-9370644214"/>
  </r>
  <r>
    <x v="472"/>
    <x v="87"/>
    <n v="49"/>
    <x v="0"/>
    <s v="B+"/>
    <x v="4"/>
    <x v="3"/>
    <x v="13"/>
    <n v="1357"/>
    <n v="2077"/>
    <n v="7040"/>
    <n v="13755"/>
    <n v="24229"/>
    <x v="270"/>
    <x v="268"/>
    <x v="5"/>
    <s v="Insurance"/>
    <s v="Discharged"/>
    <n v="183"/>
    <s v="+91-6396204771"/>
  </r>
  <r>
    <x v="473"/>
    <x v="44"/>
    <n v="17"/>
    <x v="1"/>
    <s v="AB+"/>
    <x v="0"/>
    <x v="6"/>
    <x v="1"/>
    <n v="459"/>
    <n v="3525"/>
    <n v="5844"/>
    <n v="9622"/>
    <n v="19450"/>
    <x v="271"/>
    <x v="269"/>
    <x v="3"/>
    <s v="UPI"/>
    <s v="Under Treatment"/>
    <n v="610"/>
    <s v="+91-8733579809"/>
  </r>
  <r>
    <x v="474"/>
    <x v="285"/>
    <n v="63"/>
    <x v="1"/>
    <s v="A-"/>
    <x v="3"/>
    <x v="3"/>
    <x v="0"/>
    <n v="1335"/>
    <n v="1541"/>
    <n v="4271"/>
    <n v="12651"/>
    <n v="19798"/>
    <x v="105"/>
    <x v="65"/>
    <x v="3"/>
    <s v="Card"/>
    <s v="Discharged"/>
    <n v="584"/>
    <s v="+91-6140047655"/>
  </r>
  <r>
    <x v="475"/>
    <x v="286"/>
    <n v="48"/>
    <x v="0"/>
    <s v="A-"/>
    <x v="5"/>
    <x v="1"/>
    <x v="11"/>
    <n v="547"/>
    <n v="3527"/>
    <n v="4983"/>
    <n v="5744"/>
    <n v="14801"/>
    <x v="16"/>
    <x v="200"/>
    <x v="9"/>
    <s v="UPI"/>
    <s v="Discharged"/>
    <n v="410"/>
    <s v="+91-7262640058"/>
  </r>
  <r>
    <x v="476"/>
    <x v="60"/>
    <n v="19"/>
    <x v="0"/>
    <s v="O-"/>
    <x v="5"/>
    <x v="5"/>
    <x v="12"/>
    <n v="924"/>
    <n v="2822"/>
    <n v="2066"/>
    <n v="3999"/>
    <n v="9811"/>
    <x v="61"/>
    <x v="170"/>
    <x v="5"/>
    <s v="Cash"/>
    <s v="Discharged"/>
    <n v="592"/>
    <s v="+91-8461270060"/>
  </r>
  <r>
    <x v="477"/>
    <x v="287"/>
    <n v="58"/>
    <x v="1"/>
    <s v="B+"/>
    <x v="5"/>
    <x v="6"/>
    <x v="15"/>
    <n v="571"/>
    <n v="1634"/>
    <n v="4435"/>
    <n v="11427"/>
    <n v="18067"/>
    <x v="70"/>
    <x v="29"/>
    <x v="4"/>
    <s v="UPI"/>
    <s v="Admitted"/>
    <n v="919"/>
    <s v="+91-8683368550"/>
  </r>
  <r>
    <x v="478"/>
    <x v="241"/>
    <n v="50"/>
    <x v="0"/>
    <s v="B+"/>
    <x v="5"/>
    <x v="3"/>
    <x v="13"/>
    <n v="1407"/>
    <n v="875"/>
    <n v="5792"/>
    <n v="8259"/>
    <n v="16333"/>
    <x v="272"/>
    <x v="156"/>
    <x v="5"/>
    <s v="Cash"/>
    <s v="Under Treatment"/>
    <n v="745"/>
    <s v="+91-9419475932"/>
  </r>
  <r>
    <x v="479"/>
    <x v="288"/>
    <n v="83"/>
    <x v="0"/>
    <s v="A+"/>
    <x v="4"/>
    <x v="5"/>
    <x v="4"/>
    <n v="1409"/>
    <n v="933"/>
    <n v="4971"/>
    <n v="9548"/>
    <n v="16861"/>
    <x v="173"/>
    <x v="27"/>
    <x v="3"/>
    <s v="Card"/>
    <s v="Admitted"/>
    <n v="381"/>
    <s v="+91-9379095790"/>
  </r>
  <r>
    <x v="480"/>
    <x v="289"/>
    <n v="75"/>
    <x v="1"/>
    <s v="AB+"/>
    <x v="4"/>
    <x v="5"/>
    <x v="13"/>
    <n v="1122"/>
    <n v="868"/>
    <n v="4326"/>
    <n v="1381"/>
    <n v="7697"/>
    <x v="256"/>
    <x v="71"/>
    <x v="9"/>
    <s v="UPI"/>
    <s v="Discharged"/>
    <n v="363"/>
    <s v="+91-6390949767"/>
  </r>
  <r>
    <x v="481"/>
    <x v="290"/>
    <n v="70"/>
    <x v="0"/>
    <s v="B+"/>
    <x v="6"/>
    <x v="5"/>
    <x v="0"/>
    <n v="674"/>
    <n v="2593"/>
    <n v="6593"/>
    <n v="2468"/>
    <n v="12328"/>
    <x v="251"/>
    <x v="270"/>
    <x v="1"/>
    <s v="UPI"/>
    <s v="Admitted"/>
    <n v="127"/>
    <s v="+91-9063602860"/>
  </r>
  <r>
    <x v="482"/>
    <x v="158"/>
    <n v="50"/>
    <x v="0"/>
    <s v="B-"/>
    <x v="1"/>
    <x v="6"/>
    <x v="0"/>
    <n v="1145"/>
    <n v="3155"/>
    <n v="2412"/>
    <n v="7152"/>
    <n v="13864"/>
    <x v="273"/>
    <x v="135"/>
    <x v="7"/>
    <s v="Card"/>
    <s v="Discharged"/>
    <n v="620"/>
    <s v="+91-9231490354"/>
  </r>
  <r>
    <x v="483"/>
    <x v="23"/>
    <n v="15"/>
    <x v="1"/>
    <s v="A+"/>
    <x v="2"/>
    <x v="1"/>
    <x v="13"/>
    <n v="1251"/>
    <n v="3834"/>
    <n v="836"/>
    <n v="8932"/>
    <n v="14853"/>
    <x v="261"/>
    <x v="271"/>
    <x v="7"/>
    <s v="Cash"/>
    <s v="Admitted"/>
    <n v="881"/>
    <s v="+91-8382450355"/>
  </r>
  <r>
    <x v="484"/>
    <x v="240"/>
    <n v="73"/>
    <x v="1"/>
    <s v="B-"/>
    <x v="7"/>
    <x v="2"/>
    <x v="6"/>
    <n v="1324"/>
    <n v="2166"/>
    <n v="6713"/>
    <n v="3332"/>
    <n v="13535"/>
    <x v="166"/>
    <x v="272"/>
    <x v="9"/>
    <s v="Insurance"/>
    <s v="Under Treatment"/>
    <n v="562"/>
    <s v="+91-6179495626"/>
  </r>
  <r>
    <x v="485"/>
    <x v="255"/>
    <n v="80"/>
    <x v="1"/>
    <s v="O-"/>
    <x v="3"/>
    <x v="6"/>
    <x v="5"/>
    <n v="423"/>
    <n v="4450"/>
    <n v="2538"/>
    <n v="10795"/>
    <n v="18206"/>
    <x v="175"/>
    <x v="158"/>
    <x v="1"/>
    <s v="Card"/>
    <s v="Under Treatment"/>
    <n v="960"/>
    <s v="+91-8191843886"/>
  </r>
  <r>
    <x v="486"/>
    <x v="182"/>
    <n v="21"/>
    <x v="0"/>
    <s v="B-"/>
    <x v="6"/>
    <x v="2"/>
    <x v="6"/>
    <n v="1109"/>
    <n v="1507"/>
    <n v="7103"/>
    <n v="3288"/>
    <n v="13007"/>
    <x v="145"/>
    <x v="273"/>
    <x v="1"/>
    <s v="UPI"/>
    <s v="Under Treatment"/>
    <n v="450"/>
    <s v="+91-8728033887"/>
  </r>
  <r>
    <x v="487"/>
    <x v="205"/>
    <n v="35"/>
    <x v="0"/>
    <s v="A+"/>
    <x v="1"/>
    <x v="2"/>
    <x v="13"/>
    <n v="731"/>
    <n v="4266"/>
    <n v="5211"/>
    <n v="6381"/>
    <n v="16589"/>
    <x v="116"/>
    <x v="125"/>
    <x v="9"/>
    <s v="Insurance"/>
    <s v="Admitted"/>
    <n v="109"/>
    <s v="+91-8889252025"/>
  </r>
  <r>
    <x v="488"/>
    <x v="279"/>
    <n v="72"/>
    <x v="1"/>
    <s v="O-"/>
    <x v="5"/>
    <x v="6"/>
    <x v="6"/>
    <n v="458"/>
    <n v="4912"/>
    <n v="553"/>
    <n v="14632"/>
    <n v="20555"/>
    <x v="274"/>
    <x v="80"/>
    <x v="5"/>
    <s v="Insurance"/>
    <s v="Under Treatment"/>
    <n v="466"/>
    <s v="+91-7661083050"/>
  </r>
  <r>
    <x v="489"/>
    <x v="291"/>
    <n v="16"/>
    <x v="1"/>
    <s v="B-"/>
    <x v="1"/>
    <x v="5"/>
    <x v="4"/>
    <n v="1210"/>
    <n v="576"/>
    <n v="2114"/>
    <n v="13175"/>
    <n v="17075"/>
    <x v="244"/>
    <x v="273"/>
    <x v="8"/>
    <s v="UPI"/>
    <s v="Under Treatment"/>
    <n v="326"/>
    <s v="+91-7006130182"/>
  </r>
  <r>
    <x v="490"/>
    <x v="145"/>
    <n v="5"/>
    <x v="1"/>
    <s v="AB-"/>
    <x v="7"/>
    <x v="0"/>
    <x v="4"/>
    <n v="314"/>
    <n v="2106"/>
    <n v="7026"/>
    <n v="11460"/>
    <n v="20906"/>
    <x v="147"/>
    <x v="258"/>
    <x v="2"/>
    <s v="Card"/>
    <s v="Under Treatment"/>
    <n v="856"/>
    <s v="+91-8429693268"/>
  </r>
  <r>
    <x v="491"/>
    <x v="218"/>
    <n v="23"/>
    <x v="0"/>
    <s v="B-"/>
    <x v="3"/>
    <x v="6"/>
    <x v="6"/>
    <n v="560"/>
    <n v="2626"/>
    <n v="7947"/>
    <n v="10337"/>
    <n v="21470"/>
    <x v="275"/>
    <x v="200"/>
    <x v="2"/>
    <s v="Cash"/>
    <s v="Under Treatment"/>
    <n v="794"/>
    <s v="+91-8288966376"/>
  </r>
  <r>
    <x v="492"/>
    <x v="236"/>
    <n v="72"/>
    <x v="1"/>
    <s v="AB-"/>
    <x v="2"/>
    <x v="4"/>
    <x v="14"/>
    <n v="406"/>
    <n v="3146"/>
    <n v="3843"/>
    <n v="14833"/>
    <n v="22228"/>
    <x v="179"/>
    <x v="74"/>
    <x v="5"/>
    <s v="UPI"/>
    <s v="Under Treatment"/>
    <n v="877"/>
    <s v="+91-6186679343"/>
  </r>
  <r>
    <x v="493"/>
    <x v="144"/>
    <n v="36"/>
    <x v="1"/>
    <s v="B-"/>
    <x v="7"/>
    <x v="3"/>
    <x v="13"/>
    <n v="310"/>
    <n v="3710"/>
    <n v="1894"/>
    <n v="6483"/>
    <n v="12397"/>
    <x v="29"/>
    <x v="210"/>
    <x v="0"/>
    <s v="Insurance"/>
    <s v="Admitted"/>
    <n v="355"/>
    <s v="+91-6845579519"/>
  </r>
  <r>
    <x v="494"/>
    <x v="169"/>
    <n v="40"/>
    <x v="0"/>
    <s v="O+"/>
    <x v="4"/>
    <x v="0"/>
    <x v="5"/>
    <n v="1282"/>
    <n v="4038"/>
    <n v="6919"/>
    <n v="1393"/>
    <n v="13632"/>
    <x v="186"/>
    <x v="274"/>
    <x v="8"/>
    <s v="Cash"/>
    <s v="Discharged"/>
    <n v="344"/>
    <s v="+91-7463733306"/>
  </r>
  <r>
    <x v="495"/>
    <x v="5"/>
    <n v="67"/>
    <x v="0"/>
    <s v="AB+"/>
    <x v="4"/>
    <x v="1"/>
    <x v="1"/>
    <n v="495"/>
    <n v="4157"/>
    <n v="5042"/>
    <n v="3045"/>
    <n v="12739"/>
    <x v="210"/>
    <x v="275"/>
    <x v="0"/>
    <s v="Cash"/>
    <s v="Admitted"/>
    <n v="163"/>
    <s v="+91-9947572236"/>
  </r>
  <r>
    <x v="496"/>
    <x v="47"/>
    <n v="39"/>
    <x v="1"/>
    <s v="AB+"/>
    <x v="4"/>
    <x v="0"/>
    <x v="11"/>
    <n v="414"/>
    <n v="927"/>
    <n v="2715"/>
    <n v="14925"/>
    <n v="18981"/>
    <x v="194"/>
    <x v="110"/>
    <x v="5"/>
    <s v="Cash"/>
    <s v="Discharged"/>
    <n v="493"/>
    <s v="+91-7993762863"/>
  </r>
  <r>
    <x v="497"/>
    <x v="21"/>
    <n v="80"/>
    <x v="0"/>
    <s v="A+"/>
    <x v="1"/>
    <x v="2"/>
    <x v="5"/>
    <n v="1229"/>
    <n v="4737"/>
    <n v="2988"/>
    <n v="10630"/>
    <n v="19584"/>
    <x v="22"/>
    <x v="24"/>
    <x v="5"/>
    <s v="Cash"/>
    <s v="Under Treatment"/>
    <n v="908"/>
    <s v="+91-9611120314"/>
  </r>
  <r>
    <x v="498"/>
    <x v="108"/>
    <n v="17"/>
    <x v="1"/>
    <s v="B+"/>
    <x v="1"/>
    <x v="1"/>
    <x v="14"/>
    <n v="1285"/>
    <n v="4142"/>
    <n v="1823"/>
    <n v="4983"/>
    <n v="12233"/>
    <x v="136"/>
    <x v="142"/>
    <x v="0"/>
    <s v="Insurance"/>
    <s v="Under Treatment"/>
    <n v="767"/>
    <s v="+91-9240010091"/>
  </r>
  <r>
    <x v="499"/>
    <x v="292"/>
    <n v="75"/>
    <x v="0"/>
    <s v="B+"/>
    <x v="3"/>
    <x v="5"/>
    <x v="15"/>
    <n v="932"/>
    <n v="3309"/>
    <n v="2684"/>
    <n v="7042"/>
    <n v="13967"/>
    <x v="135"/>
    <x v="28"/>
    <x v="6"/>
    <s v="Card"/>
    <s v="Under Treatment"/>
    <n v="938"/>
    <s v="+91-9587048998"/>
  </r>
  <r>
    <x v="500"/>
    <x v="293"/>
    <n v="55"/>
    <x v="1"/>
    <s v="O-"/>
    <x v="0"/>
    <x v="6"/>
    <x v="4"/>
    <n v="712"/>
    <n v="1060"/>
    <n v="3097"/>
    <n v="4102"/>
    <n v="8971"/>
    <x v="201"/>
    <x v="27"/>
    <x v="4"/>
    <s v="UPI"/>
    <s v="Under Treatment"/>
    <n v="406"/>
    <s v="+91-7798282567"/>
  </r>
  <r>
    <x v="501"/>
    <x v="271"/>
    <n v="14"/>
    <x v="1"/>
    <s v="B-"/>
    <x v="2"/>
    <x v="0"/>
    <x v="15"/>
    <n v="749"/>
    <n v="530"/>
    <n v="5532"/>
    <n v="4654"/>
    <n v="11465"/>
    <x v="39"/>
    <x v="276"/>
    <x v="4"/>
    <s v="Insurance"/>
    <s v="Under Treatment"/>
    <n v="886"/>
    <s v="+91-9498906591"/>
  </r>
  <r>
    <x v="502"/>
    <x v="294"/>
    <n v="27"/>
    <x v="1"/>
    <s v="B+"/>
    <x v="3"/>
    <x v="1"/>
    <x v="5"/>
    <n v="1043"/>
    <n v="581"/>
    <n v="904"/>
    <n v="6863"/>
    <n v="9391"/>
    <x v="140"/>
    <x v="128"/>
    <x v="5"/>
    <s v="Insurance"/>
    <s v="Admitted"/>
    <n v="746"/>
    <s v="+91-8515503899"/>
  </r>
  <r>
    <x v="503"/>
    <x v="295"/>
    <n v="4"/>
    <x v="0"/>
    <s v="B-"/>
    <x v="0"/>
    <x v="0"/>
    <x v="9"/>
    <n v="656"/>
    <n v="2293"/>
    <n v="7553"/>
    <n v="5292"/>
    <n v="15794"/>
    <x v="245"/>
    <x v="67"/>
    <x v="3"/>
    <s v="Card"/>
    <s v="Admitted"/>
    <n v="280"/>
    <s v="+91-9620148151"/>
  </r>
  <r>
    <x v="504"/>
    <x v="122"/>
    <n v="3"/>
    <x v="0"/>
    <s v="B+"/>
    <x v="5"/>
    <x v="2"/>
    <x v="11"/>
    <n v="993"/>
    <n v="2222"/>
    <n v="2799"/>
    <n v="8474"/>
    <n v="14488"/>
    <x v="129"/>
    <x v="68"/>
    <x v="8"/>
    <s v="Insurance"/>
    <s v="Under Treatment"/>
    <n v="166"/>
    <s v="+91-6508924953"/>
  </r>
  <r>
    <x v="505"/>
    <x v="180"/>
    <n v="25"/>
    <x v="0"/>
    <s v="B-"/>
    <x v="5"/>
    <x v="6"/>
    <x v="2"/>
    <n v="951"/>
    <n v="4018"/>
    <n v="5511"/>
    <n v="5006"/>
    <n v="15486"/>
    <x v="142"/>
    <x v="60"/>
    <x v="6"/>
    <s v="UPI"/>
    <s v="Admitted"/>
    <n v="435"/>
    <s v="+91-7061594170"/>
  </r>
  <r>
    <x v="506"/>
    <x v="296"/>
    <n v="17"/>
    <x v="1"/>
    <s v="O-"/>
    <x v="0"/>
    <x v="4"/>
    <x v="6"/>
    <n v="1263"/>
    <n v="1031"/>
    <n v="1671"/>
    <n v="9333"/>
    <n v="13298"/>
    <x v="276"/>
    <x v="156"/>
    <x v="3"/>
    <s v="Insurance"/>
    <s v="Admitted"/>
    <n v="429"/>
    <s v="+91-9060107828"/>
  </r>
  <r>
    <x v="507"/>
    <x v="65"/>
    <n v="62"/>
    <x v="1"/>
    <s v="B-"/>
    <x v="7"/>
    <x v="0"/>
    <x v="10"/>
    <n v="1490"/>
    <n v="3784"/>
    <n v="5527"/>
    <n v="13953"/>
    <n v="24754"/>
    <x v="124"/>
    <x v="33"/>
    <x v="0"/>
    <s v="Card"/>
    <s v="Discharged"/>
    <n v="983"/>
    <s v="+91-7006674160"/>
  </r>
  <r>
    <x v="508"/>
    <x v="297"/>
    <n v="40"/>
    <x v="1"/>
    <s v="AB-"/>
    <x v="5"/>
    <x v="2"/>
    <x v="7"/>
    <n v="1066"/>
    <n v="2585"/>
    <n v="4810"/>
    <n v="2388"/>
    <n v="10849"/>
    <x v="277"/>
    <x v="229"/>
    <x v="2"/>
    <s v="UPI"/>
    <s v="Admitted"/>
    <n v="697"/>
    <s v="+91-6176707493"/>
  </r>
  <r>
    <x v="509"/>
    <x v="29"/>
    <n v="80"/>
    <x v="1"/>
    <s v="AB+"/>
    <x v="5"/>
    <x v="5"/>
    <x v="1"/>
    <n v="1257"/>
    <n v="4043"/>
    <n v="3650"/>
    <n v="7021"/>
    <n v="15971"/>
    <x v="169"/>
    <x v="256"/>
    <x v="2"/>
    <s v="Card"/>
    <s v="Discharged"/>
    <n v="339"/>
    <s v="+91-7140850154"/>
  </r>
  <r>
    <x v="510"/>
    <x v="172"/>
    <n v="11"/>
    <x v="1"/>
    <s v="B-"/>
    <x v="4"/>
    <x v="1"/>
    <x v="10"/>
    <n v="766"/>
    <n v="1306"/>
    <n v="1271"/>
    <n v="2168"/>
    <n v="5511"/>
    <x v="270"/>
    <x v="102"/>
    <x v="3"/>
    <s v="Card"/>
    <s v="Under Treatment"/>
    <n v="437"/>
    <s v="+91-7073843390"/>
  </r>
  <r>
    <x v="511"/>
    <x v="298"/>
    <n v="25"/>
    <x v="0"/>
    <s v="A+"/>
    <x v="6"/>
    <x v="4"/>
    <x v="5"/>
    <n v="913"/>
    <n v="2808"/>
    <n v="7036"/>
    <n v="6679"/>
    <n v="17436"/>
    <x v="271"/>
    <x v="277"/>
    <x v="6"/>
    <s v="Card"/>
    <s v="Discharged"/>
    <n v="333"/>
    <s v="+91-6974641050"/>
  </r>
  <r>
    <x v="512"/>
    <x v="299"/>
    <n v="30"/>
    <x v="1"/>
    <s v="B-"/>
    <x v="7"/>
    <x v="4"/>
    <x v="13"/>
    <n v="475"/>
    <n v="3064"/>
    <n v="7228"/>
    <n v="4077"/>
    <n v="14844"/>
    <x v="278"/>
    <x v="1"/>
    <x v="1"/>
    <s v="Insurance"/>
    <s v="Under Treatment"/>
    <n v="130"/>
    <s v="+91-7609324972"/>
  </r>
  <r>
    <x v="513"/>
    <x v="138"/>
    <n v="17"/>
    <x v="1"/>
    <s v="O+"/>
    <x v="2"/>
    <x v="1"/>
    <x v="15"/>
    <n v="1026"/>
    <n v="3283"/>
    <n v="2147"/>
    <n v="7867"/>
    <n v="14323"/>
    <x v="279"/>
    <x v="19"/>
    <x v="1"/>
    <s v="Cash"/>
    <s v="Under Treatment"/>
    <n v="904"/>
    <s v="+91-6138336549"/>
  </r>
  <r>
    <x v="514"/>
    <x v="180"/>
    <n v="43"/>
    <x v="1"/>
    <s v="O-"/>
    <x v="5"/>
    <x v="2"/>
    <x v="4"/>
    <n v="1100"/>
    <n v="1021"/>
    <n v="4678"/>
    <n v="7331"/>
    <n v="14130"/>
    <x v="173"/>
    <x v="27"/>
    <x v="5"/>
    <s v="Insurance"/>
    <s v="Under Treatment"/>
    <n v="411"/>
    <s v="+91-6400469224"/>
  </r>
  <r>
    <x v="515"/>
    <x v="199"/>
    <n v="71"/>
    <x v="0"/>
    <s v="B-"/>
    <x v="2"/>
    <x v="1"/>
    <x v="15"/>
    <n v="354"/>
    <n v="2029"/>
    <n v="1930"/>
    <n v="2138"/>
    <n v="6451"/>
    <x v="161"/>
    <x v="223"/>
    <x v="7"/>
    <s v="Cash"/>
    <s v="Discharged"/>
    <n v="158"/>
    <s v="+91-7583349418"/>
  </r>
  <r>
    <x v="516"/>
    <x v="300"/>
    <n v="22"/>
    <x v="1"/>
    <s v="AB+"/>
    <x v="5"/>
    <x v="6"/>
    <x v="8"/>
    <n v="621"/>
    <n v="1407"/>
    <n v="1357"/>
    <n v="9789"/>
    <n v="13174"/>
    <x v="78"/>
    <x v="240"/>
    <x v="5"/>
    <s v="Card"/>
    <s v="Admitted"/>
    <n v="991"/>
    <s v="+91-6883376029"/>
  </r>
  <r>
    <x v="517"/>
    <x v="168"/>
    <n v="61"/>
    <x v="0"/>
    <s v="A-"/>
    <x v="6"/>
    <x v="6"/>
    <x v="4"/>
    <n v="1329"/>
    <n v="4259"/>
    <n v="2556"/>
    <n v="4304"/>
    <n v="12448"/>
    <x v="280"/>
    <x v="278"/>
    <x v="4"/>
    <s v="Insurance"/>
    <s v="Under Treatment"/>
    <n v="926"/>
    <s v="+91-7060170258"/>
  </r>
  <r>
    <x v="518"/>
    <x v="301"/>
    <n v="73"/>
    <x v="1"/>
    <s v="O-"/>
    <x v="7"/>
    <x v="3"/>
    <x v="1"/>
    <n v="1479"/>
    <n v="820"/>
    <n v="6339"/>
    <n v="2492"/>
    <n v="11130"/>
    <x v="97"/>
    <x v="156"/>
    <x v="4"/>
    <s v="UPI"/>
    <s v="Discharged"/>
    <n v="727"/>
    <s v="+91-9536603219"/>
  </r>
  <r>
    <x v="519"/>
    <x v="279"/>
    <n v="32"/>
    <x v="0"/>
    <s v="B-"/>
    <x v="5"/>
    <x v="6"/>
    <x v="1"/>
    <n v="1087"/>
    <n v="2002"/>
    <n v="6022"/>
    <n v="10316"/>
    <n v="19427"/>
    <x v="281"/>
    <x v="279"/>
    <x v="0"/>
    <s v="Card"/>
    <s v="Discharged"/>
    <n v="743"/>
    <s v="+91-8309565171"/>
  </r>
  <r>
    <x v="520"/>
    <x v="159"/>
    <n v="28"/>
    <x v="1"/>
    <s v="AB-"/>
    <x v="5"/>
    <x v="0"/>
    <x v="11"/>
    <n v="1055"/>
    <n v="1126"/>
    <n v="6488"/>
    <n v="2723"/>
    <n v="11392"/>
    <x v="118"/>
    <x v="237"/>
    <x v="1"/>
    <s v="UPI"/>
    <s v="Admitted"/>
    <n v="618"/>
    <s v="+91-6191706583"/>
  </r>
  <r>
    <x v="521"/>
    <x v="249"/>
    <n v="10"/>
    <x v="1"/>
    <s v="B+"/>
    <x v="5"/>
    <x v="1"/>
    <x v="13"/>
    <n v="1117"/>
    <n v="2092"/>
    <n v="3549"/>
    <n v="1618"/>
    <n v="8376"/>
    <x v="282"/>
    <x v="55"/>
    <x v="5"/>
    <s v="Insurance"/>
    <s v="Discharged"/>
    <n v="572"/>
    <s v="+91-6293076437"/>
  </r>
  <r>
    <x v="522"/>
    <x v="89"/>
    <n v="85"/>
    <x v="0"/>
    <s v="A-"/>
    <x v="7"/>
    <x v="0"/>
    <x v="0"/>
    <n v="1264"/>
    <n v="2786"/>
    <n v="7194"/>
    <n v="3643"/>
    <n v="14887"/>
    <x v="283"/>
    <x v="280"/>
    <x v="6"/>
    <s v="UPI"/>
    <s v="Admitted"/>
    <n v="647"/>
    <s v="+91-9184488404"/>
  </r>
  <r>
    <x v="523"/>
    <x v="302"/>
    <n v="10"/>
    <x v="0"/>
    <s v="B-"/>
    <x v="6"/>
    <x v="4"/>
    <x v="0"/>
    <n v="1202"/>
    <n v="3433"/>
    <n v="1757"/>
    <n v="4549"/>
    <n v="10941"/>
    <x v="284"/>
    <x v="281"/>
    <x v="3"/>
    <s v="Cash"/>
    <s v="Under Treatment"/>
    <n v="930"/>
    <s v="+91-8245728727"/>
  </r>
  <r>
    <x v="524"/>
    <x v="24"/>
    <n v="40"/>
    <x v="1"/>
    <s v="B-"/>
    <x v="2"/>
    <x v="5"/>
    <x v="5"/>
    <n v="399"/>
    <n v="3591"/>
    <n v="6584"/>
    <n v="4305"/>
    <n v="14879"/>
    <x v="153"/>
    <x v="105"/>
    <x v="7"/>
    <s v="Cash"/>
    <s v="Discharged"/>
    <n v="128"/>
    <s v="+91-6062534560"/>
  </r>
  <r>
    <x v="525"/>
    <x v="235"/>
    <n v="9"/>
    <x v="0"/>
    <s v="B-"/>
    <x v="4"/>
    <x v="2"/>
    <x v="7"/>
    <n v="642"/>
    <n v="860"/>
    <n v="3705"/>
    <n v="9396"/>
    <n v="14603"/>
    <x v="285"/>
    <x v="282"/>
    <x v="8"/>
    <s v="Card"/>
    <s v="Under Treatment"/>
    <n v="504"/>
    <s v="+91-7837731893"/>
  </r>
  <r>
    <x v="526"/>
    <x v="142"/>
    <n v="28"/>
    <x v="0"/>
    <s v="B-"/>
    <x v="1"/>
    <x v="4"/>
    <x v="13"/>
    <n v="655"/>
    <n v="622"/>
    <n v="3594"/>
    <n v="11715"/>
    <n v="16586"/>
    <x v="40"/>
    <x v="194"/>
    <x v="1"/>
    <s v="Card"/>
    <s v="Admitted"/>
    <n v="773"/>
    <s v="+91-9500762967"/>
  </r>
  <r>
    <x v="527"/>
    <x v="100"/>
    <n v="48"/>
    <x v="0"/>
    <s v="B+"/>
    <x v="4"/>
    <x v="1"/>
    <x v="4"/>
    <n v="1141"/>
    <n v="2970"/>
    <n v="6587"/>
    <n v="10811"/>
    <n v="21509"/>
    <x v="5"/>
    <x v="87"/>
    <x v="3"/>
    <s v="Cash"/>
    <s v="Under Treatment"/>
    <n v="432"/>
    <s v="+91-8709582850"/>
  </r>
  <r>
    <x v="528"/>
    <x v="51"/>
    <n v="43"/>
    <x v="0"/>
    <s v="B-"/>
    <x v="1"/>
    <x v="2"/>
    <x v="15"/>
    <n v="438"/>
    <n v="3245"/>
    <n v="444"/>
    <n v="10970"/>
    <n v="15097"/>
    <x v="30"/>
    <x v="169"/>
    <x v="1"/>
    <s v="Cash"/>
    <s v="Admitted"/>
    <n v="121"/>
    <s v="+91-8647197407"/>
  </r>
  <r>
    <x v="529"/>
    <x v="214"/>
    <n v="31"/>
    <x v="1"/>
    <s v="AB+"/>
    <x v="0"/>
    <x v="0"/>
    <x v="6"/>
    <n v="422"/>
    <n v="1626"/>
    <n v="3368"/>
    <n v="9171"/>
    <n v="14587"/>
    <x v="286"/>
    <x v="171"/>
    <x v="9"/>
    <s v="Cash"/>
    <s v="Admitted"/>
    <n v="842"/>
    <s v="+91-8568713374"/>
  </r>
  <r>
    <x v="530"/>
    <x v="259"/>
    <n v="18"/>
    <x v="1"/>
    <s v="O-"/>
    <x v="1"/>
    <x v="1"/>
    <x v="12"/>
    <n v="1366"/>
    <n v="3898"/>
    <n v="5608"/>
    <n v="14315"/>
    <n v="25187"/>
    <x v="97"/>
    <x v="283"/>
    <x v="7"/>
    <s v="Card"/>
    <s v="Admitted"/>
    <n v="652"/>
    <s v="+91-6232245954"/>
  </r>
  <r>
    <x v="531"/>
    <x v="203"/>
    <n v="78"/>
    <x v="1"/>
    <s v="B+"/>
    <x v="1"/>
    <x v="0"/>
    <x v="7"/>
    <n v="1205"/>
    <n v="549"/>
    <n v="829"/>
    <n v="9055"/>
    <n v="11638"/>
    <x v="109"/>
    <x v="203"/>
    <x v="0"/>
    <s v="Card"/>
    <s v="Admitted"/>
    <n v="277"/>
    <s v="+91-8545329249"/>
  </r>
  <r>
    <x v="532"/>
    <x v="1"/>
    <n v="31"/>
    <x v="0"/>
    <s v="B-"/>
    <x v="5"/>
    <x v="1"/>
    <x v="1"/>
    <n v="937"/>
    <n v="1844"/>
    <n v="6211"/>
    <n v="4236"/>
    <n v="13228"/>
    <x v="26"/>
    <x v="195"/>
    <x v="9"/>
    <s v="UPI"/>
    <s v="Under Treatment"/>
    <n v="559"/>
    <s v="+91-8729897436"/>
  </r>
  <r>
    <x v="533"/>
    <x v="4"/>
    <n v="62"/>
    <x v="0"/>
    <s v="AB+"/>
    <x v="1"/>
    <x v="6"/>
    <x v="8"/>
    <n v="1073"/>
    <n v="1874"/>
    <n v="4156"/>
    <n v="8231"/>
    <n v="15334"/>
    <x v="0"/>
    <x v="106"/>
    <x v="6"/>
    <s v="Card"/>
    <s v="Discharged"/>
    <n v="120"/>
    <s v="+91-9272461428"/>
  </r>
  <r>
    <x v="534"/>
    <x v="32"/>
    <n v="11"/>
    <x v="1"/>
    <s v="AB-"/>
    <x v="3"/>
    <x v="5"/>
    <x v="7"/>
    <n v="826"/>
    <n v="3616"/>
    <n v="4098"/>
    <n v="6011"/>
    <n v="14551"/>
    <x v="62"/>
    <x v="223"/>
    <x v="1"/>
    <s v="UPI"/>
    <s v="Admitted"/>
    <n v="832"/>
    <s v="+91-8015449824"/>
  </r>
  <r>
    <x v="535"/>
    <x v="303"/>
    <n v="25"/>
    <x v="0"/>
    <s v="AB-"/>
    <x v="2"/>
    <x v="1"/>
    <x v="2"/>
    <n v="1306"/>
    <n v="3814"/>
    <n v="7883"/>
    <n v="7812"/>
    <n v="20815"/>
    <x v="147"/>
    <x v="105"/>
    <x v="1"/>
    <s v="Cash"/>
    <s v="Discharged"/>
    <n v="139"/>
    <s v="+91-9958255823"/>
  </r>
  <r>
    <x v="536"/>
    <x v="24"/>
    <n v="73"/>
    <x v="0"/>
    <s v="A+"/>
    <x v="0"/>
    <x v="3"/>
    <x v="14"/>
    <n v="822"/>
    <n v="3355"/>
    <n v="4474"/>
    <n v="12618"/>
    <n v="21269"/>
    <x v="61"/>
    <x v="246"/>
    <x v="8"/>
    <s v="Insurance"/>
    <s v="Discharged"/>
    <n v="853"/>
    <s v="+91-7059962775"/>
  </r>
  <r>
    <x v="537"/>
    <x v="37"/>
    <n v="5"/>
    <x v="1"/>
    <s v="B+"/>
    <x v="2"/>
    <x v="5"/>
    <x v="0"/>
    <n v="835"/>
    <n v="4231"/>
    <n v="5879"/>
    <n v="3414"/>
    <n v="14359"/>
    <x v="141"/>
    <x v="130"/>
    <x v="6"/>
    <s v="Cash"/>
    <s v="Admitted"/>
    <n v="759"/>
    <s v="+91-9056339391"/>
  </r>
  <r>
    <x v="538"/>
    <x v="212"/>
    <n v="76"/>
    <x v="0"/>
    <s v="AB+"/>
    <x v="0"/>
    <x v="2"/>
    <x v="14"/>
    <n v="639"/>
    <n v="3996"/>
    <n v="2371"/>
    <n v="12335"/>
    <n v="19341"/>
    <x v="35"/>
    <x v="119"/>
    <x v="3"/>
    <s v="UPI"/>
    <s v="Under Treatment"/>
    <n v="521"/>
    <s v="+91-9231800764"/>
  </r>
  <r>
    <x v="539"/>
    <x v="304"/>
    <n v="82"/>
    <x v="1"/>
    <s v="A+"/>
    <x v="3"/>
    <x v="5"/>
    <x v="10"/>
    <n v="729"/>
    <n v="3760"/>
    <n v="6026"/>
    <n v="6047"/>
    <n v="16562"/>
    <x v="280"/>
    <x v="114"/>
    <x v="4"/>
    <s v="Cash"/>
    <s v="Under Treatment"/>
    <n v="527"/>
    <s v="+91-8254694587"/>
  </r>
  <r>
    <x v="540"/>
    <x v="305"/>
    <n v="56"/>
    <x v="0"/>
    <s v="AB-"/>
    <x v="3"/>
    <x v="2"/>
    <x v="2"/>
    <n v="681"/>
    <n v="1600"/>
    <n v="1922"/>
    <n v="8970"/>
    <n v="13173"/>
    <x v="287"/>
    <x v="116"/>
    <x v="5"/>
    <s v="Card"/>
    <s v="Admitted"/>
    <n v="305"/>
    <s v="+91-6253326043"/>
  </r>
  <r>
    <x v="541"/>
    <x v="78"/>
    <n v="34"/>
    <x v="1"/>
    <s v="A-"/>
    <x v="7"/>
    <x v="1"/>
    <x v="11"/>
    <n v="640"/>
    <n v="1153"/>
    <n v="2701"/>
    <n v="2404"/>
    <n v="6898"/>
    <x v="288"/>
    <x v="2"/>
    <x v="2"/>
    <s v="Cash"/>
    <s v="Under Treatment"/>
    <n v="340"/>
    <s v="+91-8052552491"/>
  </r>
  <r>
    <x v="542"/>
    <x v="162"/>
    <n v="2"/>
    <x v="0"/>
    <s v="O+"/>
    <x v="6"/>
    <x v="4"/>
    <x v="5"/>
    <n v="1492"/>
    <n v="842"/>
    <n v="1093"/>
    <n v="4458"/>
    <n v="7885"/>
    <x v="75"/>
    <x v="123"/>
    <x v="1"/>
    <s v="Insurance"/>
    <s v="Discharged"/>
    <n v="718"/>
    <s v="+91-7844489276"/>
  </r>
  <r>
    <x v="543"/>
    <x v="38"/>
    <n v="44"/>
    <x v="1"/>
    <s v="A+"/>
    <x v="0"/>
    <x v="4"/>
    <x v="2"/>
    <n v="1116"/>
    <n v="3600"/>
    <n v="5303"/>
    <n v="1937"/>
    <n v="11956"/>
    <x v="120"/>
    <x v="243"/>
    <x v="5"/>
    <s v="Insurance"/>
    <s v="Under Treatment"/>
    <n v="955"/>
    <s v="+91-9813804448"/>
  </r>
  <r>
    <x v="544"/>
    <x v="265"/>
    <n v="78"/>
    <x v="0"/>
    <s v="AB+"/>
    <x v="6"/>
    <x v="3"/>
    <x v="3"/>
    <n v="1054"/>
    <n v="4202"/>
    <n v="5365"/>
    <n v="12242"/>
    <n v="22863"/>
    <x v="289"/>
    <x v="27"/>
    <x v="3"/>
    <s v="Card"/>
    <s v="Admitted"/>
    <n v="753"/>
    <s v="+91-9490172225"/>
  </r>
  <r>
    <x v="545"/>
    <x v="306"/>
    <n v="82"/>
    <x v="1"/>
    <s v="O-"/>
    <x v="2"/>
    <x v="4"/>
    <x v="13"/>
    <n v="1209"/>
    <n v="2413"/>
    <n v="5270"/>
    <n v="8938"/>
    <n v="17830"/>
    <x v="189"/>
    <x v="236"/>
    <x v="5"/>
    <s v="Insurance"/>
    <s v="Under Treatment"/>
    <n v="977"/>
    <s v="+91-9004328465"/>
  </r>
  <r>
    <x v="546"/>
    <x v="24"/>
    <n v="38"/>
    <x v="0"/>
    <s v="AB-"/>
    <x v="3"/>
    <x v="0"/>
    <x v="12"/>
    <n v="561"/>
    <n v="4579"/>
    <n v="6827"/>
    <n v="2426"/>
    <n v="14393"/>
    <x v="35"/>
    <x v="12"/>
    <x v="3"/>
    <s v="Insurance"/>
    <s v="Admitted"/>
    <n v="593"/>
    <s v="+91-8846026189"/>
  </r>
  <r>
    <x v="547"/>
    <x v="245"/>
    <n v="32"/>
    <x v="0"/>
    <s v="O+"/>
    <x v="3"/>
    <x v="0"/>
    <x v="6"/>
    <n v="516"/>
    <n v="4062"/>
    <n v="6163"/>
    <n v="1478"/>
    <n v="12219"/>
    <x v="47"/>
    <x v="282"/>
    <x v="1"/>
    <s v="UPI"/>
    <s v="Under Treatment"/>
    <n v="587"/>
    <s v="+91-9854779900"/>
  </r>
  <r>
    <x v="548"/>
    <x v="97"/>
    <n v="69"/>
    <x v="1"/>
    <s v="AB+"/>
    <x v="4"/>
    <x v="6"/>
    <x v="13"/>
    <n v="758"/>
    <n v="1029"/>
    <n v="5575"/>
    <n v="6623"/>
    <n v="13985"/>
    <x v="288"/>
    <x v="136"/>
    <x v="3"/>
    <s v="Card"/>
    <s v="Admitted"/>
    <n v="365"/>
    <s v="+91-6496884614"/>
  </r>
  <r>
    <x v="549"/>
    <x v="159"/>
    <n v="15"/>
    <x v="0"/>
    <s v="A+"/>
    <x v="1"/>
    <x v="1"/>
    <x v="4"/>
    <n v="537"/>
    <n v="3512"/>
    <n v="1343"/>
    <n v="14980"/>
    <n v="20372"/>
    <x v="15"/>
    <x v="3"/>
    <x v="6"/>
    <s v="Cash"/>
    <s v="Under Treatment"/>
    <n v="648"/>
    <s v="+91-6815432487"/>
  </r>
  <r>
    <x v="550"/>
    <x v="32"/>
    <n v="41"/>
    <x v="1"/>
    <s v="O+"/>
    <x v="3"/>
    <x v="6"/>
    <x v="3"/>
    <n v="518"/>
    <n v="3738"/>
    <n v="375"/>
    <n v="9819"/>
    <n v="14450"/>
    <x v="70"/>
    <x v="180"/>
    <x v="9"/>
    <s v="Card"/>
    <s v="Discharged"/>
    <n v="796"/>
    <s v="+91-7957579670"/>
  </r>
  <r>
    <x v="551"/>
    <x v="161"/>
    <n v="37"/>
    <x v="0"/>
    <s v="AB-"/>
    <x v="2"/>
    <x v="3"/>
    <x v="13"/>
    <n v="932"/>
    <n v="4615"/>
    <n v="5941"/>
    <n v="3022"/>
    <n v="14510"/>
    <x v="231"/>
    <x v="235"/>
    <x v="6"/>
    <s v="Card"/>
    <s v="Discharged"/>
    <n v="398"/>
    <s v="+91-9024260318"/>
  </r>
  <r>
    <x v="552"/>
    <x v="281"/>
    <n v="43"/>
    <x v="0"/>
    <s v="A+"/>
    <x v="0"/>
    <x v="2"/>
    <x v="3"/>
    <n v="407"/>
    <n v="1966"/>
    <n v="7318"/>
    <n v="8987"/>
    <n v="18678"/>
    <x v="255"/>
    <x v="95"/>
    <x v="9"/>
    <s v="Insurance"/>
    <s v="Discharged"/>
    <n v="532"/>
    <s v="+91-8911552700"/>
  </r>
  <r>
    <x v="553"/>
    <x v="145"/>
    <n v="51"/>
    <x v="1"/>
    <s v="O-"/>
    <x v="4"/>
    <x v="6"/>
    <x v="9"/>
    <n v="878"/>
    <n v="2098"/>
    <n v="6043"/>
    <n v="9978"/>
    <n v="18997"/>
    <x v="290"/>
    <x v="284"/>
    <x v="9"/>
    <s v="Cash"/>
    <s v="Under Treatment"/>
    <n v="411"/>
    <s v="+91-7965087134"/>
  </r>
  <r>
    <x v="554"/>
    <x v="179"/>
    <n v="18"/>
    <x v="1"/>
    <s v="O-"/>
    <x v="7"/>
    <x v="3"/>
    <x v="9"/>
    <n v="596"/>
    <n v="2218"/>
    <n v="2086"/>
    <n v="14178"/>
    <n v="19078"/>
    <x v="209"/>
    <x v="285"/>
    <x v="0"/>
    <s v="Cash"/>
    <s v="Under Treatment"/>
    <n v="904"/>
    <s v="+91-9686932034"/>
  </r>
  <r>
    <x v="555"/>
    <x v="307"/>
    <n v="55"/>
    <x v="0"/>
    <s v="AB+"/>
    <x v="2"/>
    <x v="0"/>
    <x v="11"/>
    <n v="1028"/>
    <n v="4381"/>
    <n v="1771"/>
    <n v="1859"/>
    <n v="9039"/>
    <x v="107"/>
    <x v="286"/>
    <x v="8"/>
    <s v="Insurance"/>
    <s v="Admitted"/>
    <n v="134"/>
    <s v="+91-6510253039"/>
  </r>
  <r>
    <x v="556"/>
    <x v="215"/>
    <n v="63"/>
    <x v="1"/>
    <s v="AB-"/>
    <x v="3"/>
    <x v="1"/>
    <x v="8"/>
    <n v="483"/>
    <n v="4298"/>
    <n v="7385"/>
    <n v="14405"/>
    <n v="26571"/>
    <x v="115"/>
    <x v="136"/>
    <x v="2"/>
    <s v="Cash"/>
    <s v="Admitted"/>
    <n v="219"/>
    <s v="+91-6354923180"/>
  </r>
  <r>
    <x v="557"/>
    <x v="308"/>
    <n v="83"/>
    <x v="0"/>
    <s v="AB+"/>
    <x v="2"/>
    <x v="1"/>
    <x v="15"/>
    <n v="860"/>
    <n v="1274"/>
    <n v="6807"/>
    <n v="10713"/>
    <n v="19654"/>
    <x v="199"/>
    <x v="233"/>
    <x v="4"/>
    <s v="Card"/>
    <s v="Admitted"/>
    <n v="433"/>
    <s v="+91-6272723132"/>
  </r>
  <r>
    <x v="558"/>
    <x v="238"/>
    <n v="52"/>
    <x v="0"/>
    <s v="B-"/>
    <x v="5"/>
    <x v="3"/>
    <x v="15"/>
    <n v="430"/>
    <n v="4750"/>
    <n v="7157"/>
    <n v="10580"/>
    <n v="22917"/>
    <x v="24"/>
    <x v="285"/>
    <x v="5"/>
    <s v="Cash"/>
    <s v="Admitted"/>
    <n v="982"/>
    <s v="+91-8573126110"/>
  </r>
  <r>
    <x v="559"/>
    <x v="291"/>
    <n v="72"/>
    <x v="1"/>
    <s v="O+"/>
    <x v="1"/>
    <x v="6"/>
    <x v="11"/>
    <n v="380"/>
    <n v="1555"/>
    <n v="5011"/>
    <n v="4378"/>
    <n v="11324"/>
    <x v="131"/>
    <x v="81"/>
    <x v="5"/>
    <s v="Cash"/>
    <s v="Admitted"/>
    <n v="227"/>
    <s v="+91-8173890447"/>
  </r>
  <r>
    <x v="560"/>
    <x v="106"/>
    <n v="70"/>
    <x v="0"/>
    <s v="AB-"/>
    <x v="5"/>
    <x v="0"/>
    <x v="5"/>
    <n v="808"/>
    <n v="2962"/>
    <n v="678"/>
    <n v="9510"/>
    <n v="13958"/>
    <x v="154"/>
    <x v="216"/>
    <x v="3"/>
    <s v="Insurance"/>
    <s v="Under Treatment"/>
    <n v="420"/>
    <s v="+91-8244834495"/>
  </r>
  <r>
    <x v="561"/>
    <x v="237"/>
    <n v="69"/>
    <x v="0"/>
    <s v="B-"/>
    <x v="4"/>
    <x v="2"/>
    <x v="12"/>
    <n v="785"/>
    <n v="800"/>
    <n v="1840"/>
    <n v="3321"/>
    <n v="6746"/>
    <x v="291"/>
    <x v="219"/>
    <x v="9"/>
    <s v="UPI"/>
    <s v="Discharged"/>
    <n v="231"/>
    <s v="+91-9131479580"/>
  </r>
  <r>
    <x v="562"/>
    <x v="241"/>
    <n v="10"/>
    <x v="1"/>
    <s v="B+"/>
    <x v="6"/>
    <x v="2"/>
    <x v="8"/>
    <n v="634"/>
    <n v="3777"/>
    <n v="4036"/>
    <n v="2364"/>
    <n v="10811"/>
    <x v="141"/>
    <x v="177"/>
    <x v="1"/>
    <s v="Card"/>
    <s v="Admitted"/>
    <n v="744"/>
    <s v="+91-9146814737"/>
  </r>
  <r>
    <x v="563"/>
    <x v="309"/>
    <n v="48"/>
    <x v="0"/>
    <s v="O+"/>
    <x v="5"/>
    <x v="5"/>
    <x v="0"/>
    <n v="947"/>
    <n v="4052"/>
    <n v="3404"/>
    <n v="1424"/>
    <n v="9827"/>
    <x v="159"/>
    <x v="130"/>
    <x v="5"/>
    <s v="Cash"/>
    <s v="Under Treatment"/>
    <n v="661"/>
    <s v="+91-7747112232"/>
  </r>
  <r>
    <x v="564"/>
    <x v="46"/>
    <n v="82"/>
    <x v="0"/>
    <s v="A-"/>
    <x v="1"/>
    <x v="4"/>
    <x v="13"/>
    <n v="859"/>
    <n v="1698"/>
    <n v="7417"/>
    <n v="14076"/>
    <n v="24050"/>
    <x v="227"/>
    <x v="74"/>
    <x v="0"/>
    <s v="Card"/>
    <s v="Discharged"/>
    <n v="207"/>
    <s v="+91-9361815290"/>
  </r>
  <r>
    <x v="565"/>
    <x v="310"/>
    <n v="68"/>
    <x v="1"/>
    <s v="A-"/>
    <x v="7"/>
    <x v="5"/>
    <x v="11"/>
    <n v="1383"/>
    <n v="3358"/>
    <n v="6038"/>
    <n v="10374"/>
    <n v="21153"/>
    <x v="292"/>
    <x v="287"/>
    <x v="2"/>
    <s v="Card"/>
    <s v="Discharged"/>
    <n v="869"/>
    <s v="+91-7673161789"/>
  </r>
  <r>
    <x v="566"/>
    <x v="311"/>
    <n v="69"/>
    <x v="1"/>
    <s v="B+"/>
    <x v="7"/>
    <x v="4"/>
    <x v="0"/>
    <n v="830"/>
    <n v="577"/>
    <n v="5925"/>
    <n v="9414"/>
    <n v="16746"/>
    <x v="111"/>
    <x v="288"/>
    <x v="9"/>
    <s v="UPI"/>
    <s v="Admitted"/>
    <n v="842"/>
    <s v="+91-8745315125"/>
  </r>
  <r>
    <x v="567"/>
    <x v="57"/>
    <n v="78"/>
    <x v="1"/>
    <s v="AB+"/>
    <x v="7"/>
    <x v="2"/>
    <x v="7"/>
    <n v="1198"/>
    <n v="3399"/>
    <n v="6841"/>
    <n v="8678"/>
    <n v="20116"/>
    <x v="252"/>
    <x v="101"/>
    <x v="2"/>
    <s v="Card"/>
    <s v="Discharged"/>
    <n v="750"/>
    <s v="+91-9684744684"/>
  </r>
  <r>
    <x v="568"/>
    <x v="121"/>
    <n v="53"/>
    <x v="1"/>
    <s v="O+"/>
    <x v="4"/>
    <x v="2"/>
    <x v="6"/>
    <n v="457"/>
    <n v="2466"/>
    <n v="1067"/>
    <n v="3705"/>
    <n v="7695"/>
    <x v="190"/>
    <x v="15"/>
    <x v="5"/>
    <s v="Insurance"/>
    <s v="Admitted"/>
    <n v="534"/>
    <s v="+91-8907834855"/>
  </r>
  <r>
    <x v="569"/>
    <x v="193"/>
    <n v="62"/>
    <x v="1"/>
    <s v="O-"/>
    <x v="4"/>
    <x v="0"/>
    <x v="8"/>
    <n v="328"/>
    <n v="2057"/>
    <n v="7761"/>
    <n v="14621"/>
    <n v="24767"/>
    <x v="280"/>
    <x v="195"/>
    <x v="3"/>
    <s v="Cash"/>
    <s v="Under Treatment"/>
    <n v="559"/>
    <s v="+91-6723840867"/>
  </r>
  <r>
    <x v="570"/>
    <x v="152"/>
    <n v="23"/>
    <x v="0"/>
    <s v="O-"/>
    <x v="1"/>
    <x v="5"/>
    <x v="0"/>
    <n v="1352"/>
    <n v="3394"/>
    <n v="717"/>
    <n v="7925"/>
    <n v="13388"/>
    <x v="253"/>
    <x v="3"/>
    <x v="9"/>
    <s v="UPI"/>
    <s v="Under Treatment"/>
    <n v="355"/>
    <s v="+91-9572237717"/>
  </r>
  <r>
    <x v="571"/>
    <x v="312"/>
    <n v="38"/>
    <x v="1"/>
    <s v="B-"/>
    <x v="7"/>
    <x v="1"/>
    <x v="9"/>
    <n v="842"/>
    <n v="2245"/>
    <n v="318"/>
    <n v="13091"/>
    <n v="16496"/>
    <x v="260"/>
    <x v="157"/>
    <x v="1"/>
    <s v="Cash"/>
    <s v="Discharged"/>
    <n v="732"/>
    <s v="+91-9643643161"/>
  </r>
  <r>
    <x v="572"/>
    <x v="232"/>
    <n v="46"/>
    <x v="0"/>
    <s v="O-"/>
    <x v="7"/>
    <x v="5"/>
    <x v="13"/>
    <n v="911"/>
    <n v="3399"/>
    <n v="1177"/>
    <n v="1084"/>
    <n v="6571"/>
    <x v="293"/>
    <x v="226"/>
    <x v="1"/>
    <s v="Cash"/>
    <s v="Discharged"/>
    <n v="603"/>
    <s v="+91-6848446906"/>
  </r>
  <r>
    <x v="573"/>
    <x v="194"/>
    <n v="66"/>
    <x v="0"/>
    <s v="AB-"/>
    <x v="5"/>
    <x v="4"/>
    <x v="11"/>
    <n v="1298"/>
    <n v="556"/>
    <n v="1574"/>
    <n v="13606"/>
    <n v="17034"/>
    <x v="66"/>
    <x v="55"/>
    <x v="7"/>
    <s v="UPI"/>
    <s v="Discharged"/>
    <n v="473"/>
    <s v="+91-7839712603"/>
  </r>
  <r>
    <x v="574"/>
    <x v="286"/>
    <n v="35"/>
    <x v="0"/>
    <s v="B-"/>
    <x v="7"/>
    <x v="5"/>
    <x v="1"/>
    <n v="631"/>
    <n v="1645"/>
    <n v="3197"/>
    <n v="13240"/>
    <n v="18713"/>
    <x v="294"/>
    <x v="289"/>
    <x v="8"/>
    <s v="Card"/>
    <s v="Discharged"/>
    <n v="141"/>
    <s v="+91-6574152646"/>
  </r>
  <r>
    <x v="575"/>
    <x v="32"/>
    <n v="43"/>
    <x v="0"/>
    <s v="B+"/>
    <x v="3"/>
    <x v="1"/>
    <x v="4"/>
    <n v="1281"/>
    <n v="2677"/>
    <n v="1273"/>
    <n v="7899"/>
    <n v="13130"/>
    <x v="61"/>
    <x v="13"/>
    <x v="4"/>
    <s v="Insurance"/>
    <s v="Under Treatment"/>
    <n v="843"/>
    <s v="+91-9966665364"/>
  </r>
  <r>
    <x v="576"/>
    <x v="51"/>
    <n v="15"/>
    <x v="0"/>
    <s v="O-"/>
    <x v="2"/>
    <x v="4"/>
    <x v="0"/>
    <n v="618"/>
    <n v="3319"/>
    <n v="4396"/>
    <n v="1223"/>
    <n v="9556"/>
    <x v="76"/>
    <x v="143"/>
    <x v="0"/>
    <s v="Cash"/>
    <s v="Discharged"/>
    <n v="591"/>
    <s v="+91-7243249710"/>
  </r>
  <r>
    <x v="577"/>
    <x v="79"/>
    <n v="11"/>
    <x v="1"/>
    <s v="AB+"/>
    <x v="0"/>
    <x v="0"/>
    <x v="0"/>
    <n v="1347"/>
    <n v="2030"/>
    <n v="2343"/>
    <n v="5606"/>
    <n v="11326"/>
    <x v="295"/>
    <x v="245"/>
    <x v="7"/>
    <s v="Insurance"/>
    <s v="Under Treatment"/>
    <n v="901"/>
    <s v="+91-9478719374"/>
  </r>
  <r>
    <x v="578"/>
    <x v="313"/>
    <n v="79"/>
    <x v="0"/>
    <s v="B+"/>
    <x v="0"/>
    <x v="4"/>
    <x v="0"/>
    <n v="769"/>
    <n v="1486"/>
    <n v="1383"/>
    <n v="7574"/>
    <n v="11212"/>
    <x v="23"/>
    <x v="74"/>
    <x v="7"/>
    <s v="Cash"/>
    <s v="Under Treatment"/>
    <n v="304"/>
    <s v="+91-6390564700"/>
  </r>
  <r>
    <x v="579"/>
    <x v="81"/>
    <n v="53"/>
    <x v="1"/>
    <s v="O+"/>
    <x v="0"/>
    <x v="5"/>
    <x v="3"/>
    <n v="988"/>
    <n v="3990"/>
    <n v="4225"/>
    <n v="2005"/>
    <n v="11208"/>
    <x v="168"/>
    <x v="290"/>
    <x v="0"/>
    <s v="UPI"/>
    <s v="Discharged"/>
    <n v="387"/>
    <s v="+91-7507638799"/>
  </r>
  <r>
    <x v="580"/>
    <x v="314"/>
    <n v="41"/>
    <x v="0"/>
    <s v="AB-"/>
    <x v="3"/>
    <x v="1"/>
    <x v="12"/>
    <n v="301"/>
    <n v="927"/>
    <n v="5710"/>
    <n v="13202"/>
    <n v="20140"/>
    <x v="86"/>
    <x v="70"/>
    <x v="2"/>
    <s v="Cash"/>
    <s v="Discharged"/>
    <n v="289"/>
    <s v="+91-7083461525"/>
  </r>
  <r>
    <x v="581"/>
    <x v="145"/>
    <n v="43"/>
    <x v="1"/>
    <s v="O-"/>
    <x v="4"/>
    <x v="0"/>
    <x v="11"/>
    <n v="327"/>
    <n v="1567"/>
    <n v="3013"/>
    <n v="6907"/>
    <n v="11814"/>
    <x v="296"/>
    <x v="269"/>
    <x v="3"/>
    <s v="UPI"/>
    <s v="Admitted"/>
    <n v="698"/>
    <s v="+91-7649479425"/>
  </r>
  <r>
    <x v="582"/>
    <x v="304"/>
    <n v="17"/>
    <x v="0"/>
    <s v="O-"/>
    <x v="2"/>
    <x v="1"/>
    <x v="4"/>
    <n v="695"/>
    <n v="4151"/>
    <n v="7881"/>
    <n v="2616"/>
    <n v="15343"/>
    <x v="146"/>
    <x v="291"/>
    <x v="6"/>
    <s v="Insurance"/>
    <s v="Admitted"/>
    <n v="646"/>
    <s v="+91-9095681282"/>
  </r>
  <r>
    <x v="583"/>
    <x v="315"/>
    <n v="17"/>
    <x v="0"/>
    <s v="AB+"/>
    <x v="5"/>
    <x v="5"/>
    <x v="10"/>
    <n v="1447"/>
    <n v="3345"/>
    <n v="7631"/>
    <n v="6996"/>
    <n v="19419"/>
    <x v="297"/>
    <x v="96"/>
    <x v="5"/>
    <s v="Insurance"/>
    <s v="Discharged"/>
    <n v="636"/>
    <s v="+91-8164102717"/>
  </r>
  <r>
    <x v="584"/>
    <x v="316"/>
    <n v="77"/>
    <x v="1"/>
    <s v="A-"/>
    <x v="3"/>
    <x v="0"/>
    <x v="9"/>
    <n v="393"/>
    <n v="998"/>
    <n v="6807"/>
    <n v="12367"/>
    <n v="20565"/>
    <x v="298"/>
    <x v="193"/>
    <x v="4"/>
    <s v="Insurance"/>
    <s v="Under Treatment"/>
    <n v="493"/>
    <s v="+91-8415913029"/>
  </r>
  <r>
    <x v="585"/>
    <x v="212"/>
    <n v="78"/>
    <x v="1"/>
    <s v="AB-"/>
    <x v="0"/>
    <x v="2"/>
    <x v="7"/>
    <n v="307"/>
    <n v="1810"/>
    <n v="4984"/>
    <n v="4568"/>
    <n v="11669"/>
    <x v="186"/>
    <x v="31"/>
    <x v="0"/>
    <s v="UPI"/>
    <s v="Discharged"/>
    <n v="972"/>
    <s v="+91-6946337325"/>
  </r>
  <r>
    <x v="586"/>
    <x v="298"/>
    <n v="71"/>
    <x v="0"/>
    <s v="O+"/>
    <x v="3"/>
    <x v="0"/>
    <x v="3"/>
    <n v="393"/>
    <n v="4870"/>
    <n v="2251"/>
    <n v="5781"/>
    <n v="13295"/>
    <x v="16"/>
    <x v="292"/>
    <x v="9"/>
    <s v="UPI"/>
    <s v="Admitted"/>
    <n v="757"/>
    <s v="+91-7069481523"/>
  </r>
  <r>
    <x v="587"/>
    <x v="13"/>
    <n v="15"/>
    <x v="0"/>
    <s v="O+"/>
    <x v="1"/>
    <x v="1"/>
    <x v="2"/>
    <n v="964"/>
    <n v="1181"/>
    <n v="6079"/>
    <n v="9999"/>
    <n v="18223"/>
    <x v="155"/>
    <x v="85"/>
    <x v="1"/>
    <s v="Cash"/>
    <s v="Under Treatment"/>
    <n v="935"/>
    <s v="+91-6044702838"/>
  </r>
  <r>
    <x v="588"/>
    <x v="57"/>
    <n v="36"/>
    <x v="0"/>
    <s v="B-"/>
    <x v="6"/>
    <x v="6"/>
    <x v="5"/>
    <n v="1400"/>
    <n v="1371"/>
    <n v="6219"/>
    <n v="13218"/>
    <n v="22208"/>
    <x v="100"/>
    <x v="136"/>
    <x v="2"/>
    <s v="Insurance"/>
    <s v="Admitted"/>
    <n v="432"/>
    <s v="+91-7154459322"/>
  </r>
  <r>
    <x v="589"/>
    <x v="108"/>
    <n v="81"/>
    <x v="1"/>
    <s v="B+"/>
    <x v="3"/>
    <x v="4"/>
    <x v="1"/>
    <n v="774"/>
    <n v="4054"/>
    <n v="3319"/>
    <n v="3430"/>
    <n v="11577"/>
    <x v="92"/>
    <x v="293"/>
    <x v="4"/>
    <s v="Card"/>
    <s v="Admitted"/>
    <n v="293"/>
    <s v="+91-8446662406"/>
  </r>
  <r>
    <x v="590"/>
    <x v="99"/>
    <n v="83"/>
    <x v="1"/>
    <s v="A-"/>
    <x v="2"/>
    <x v="0"/>
    <x v="9"/>
    <n v="633"/>
    <n v="1955"/>
    <n v="6996"/>
    <n v="7458"/>
    <n v="17042"/>
    <x v="56"/>
    <x v="49"/>
    <x v="7"/>
    <s v="Cash"/>
    <s v="Discharged"/>
    <n v="351"/>
    <s v="+91-7954313872"/>
  </r>
  <r>
    <x v="591"/>
    <x v="268"/>
    <n v="68"/>
    <x v="0"/>
    <s v="B+"/>
    <x v="2"/>
    <x v="0"/>
    <x v="11"/>
    <n v="1073"/>
    <n v="3645"/>
    <n v="469"/>
    <n v="2802"/>
    <n v="7989"/>
    <x v="232"/>
    <x v="253"/>
    <x v="0"/>
    <s v="Cash"/>
    <s v="Discharged"/>
    <n v="246"/>
    <s v="+91-8694595365"/>
  </r>
  <r>
    <x v="592"/>
    <x v="220"/>
    <n v="2"/>
    <x v="0"/>
    <s v="O+"/>
    <x v="1"/>
    <x v="1"/>
    <x v="6"/>
    <n v="714"/>
    <n v="1640"/>
    <n v="4235"/>
    <n v="13446"/>
    <n v="20035"/>
    <x v="299"/>
    <x v="80"/>
    <x v="9"/>
    <s v="Insurance"/>
    <s v="Admitted"/>
    <n v="349"/>
    <s v="+91-6239983474"/>
  </r>
  <r>
    <x v="593"/>
    <x v="6"/>
    <n v="81"/>
    <x v="0"/>
    <s v="A+"/>
    <x v="2"/>
    <x v="0"/>
    <x v="12"/>
    <n v="510"/>
    <n v="4961"/>
    <n v="2730"/>
    <n v="2680"/>
    <n v="10881"/>
    <x v="168"/>
    <x v="265"/>
    <x v="9"/>
    <s v="Cash"/>
    <s v="Admitted"/>
    <n v="537"/>
    <s v="+91-7655207639"/>
  </r>
  <r>
    <x v="594"/>
    <x v="192"/>
    <n v="84"/>
    <x v="1"/>
    <s v="O-"/>
    <x v="0"/>
    <x v="5"/>
    <x v="8"/>
    <n v="530"/>
    <n v="4528"/>
    <n v="1689"/>
    <n v="2804"/>
    <n v="9551"/>
    <x v="33"/>
    <x v="87"/>
    <x v="2"/>
    <s v="UPI"/>
    <s v="Admitted"/>
    <n v="469"/>
    <s v="+91-9965627504"/>
  </r>
  <r>
    <x v="595"/>
    <x v="117"/>
    <n v="78"/>
    <x v="0"/>
    <s v="O+"/>
    <x v="3"/>
    <x v="2"/>
    <x v="14"/>
    <n v="1386"/>
    <n v="3243"/>
    <n v="5212"/>
    <n v="3971"/>
    <n v="13812"/>
    <x v="236"/>
    <x v="195"/>
    <x v="9"/>
    <s v="UPI"/>
    <s v="Discharged"/>
    <n v="996"/>
    <s v="+91-6446344020"/>
  </r>
  <r>
    <x v="596"/>
    <x v="317"/>
    <n v="85"/>
    <x v="1"/>
    <s v="AB+"/>
    <x v="6"/>
    <x v="4"/>
    <x v="6"/>
    <n v="304"/>
    <n v="1717"/>
    <n v="6671"/>
    <n v="11745"/>
    <n v="20437"/>
    <x v="79"/>
    <x v="222"/>
    <x v="9"/>
    <s v="Insurance"/>
    <s v="Admitted"/>
    <n v="215"/>
    <s v="+91-8481816261"/>
  </r>
  <r>
    <x v="597"/>
    <x v="190"/>
    <n v="19"/>
    <x v="0"/>
    <s v="AB+"/>
    <x v="1"/>
    <x v="2"/>
    <x v="0"/>
    <n v="672"/>
    <n v="3654"/>
    <n v="3188"/>
    <n v="6231"/>
    <n v="13745"/>
    <x v="253"/>
    <x v="195"/>
    <x v="4"/>
    <s v="UPI"/>
    <s v="Admitted"/>
    <n v="921"/>
    <s v="+91-8808711981"/>
  </r>
  <r>
    <x v="598"/>
    <x v="215"/>
    <n v="54"/>
    <x v="1"/>
    <s v="B-"/>
    <x v="7"/>
    <x v="3"/>
    <x v="3"/>
    <n v="1087"/>
    <n v="1184"/>
    <n v="5059"/>
    <n v="12713"/>
    <n v="20043"/>
    <x v="300"/>
    <x v="78"/>
    <x v="6"/>
    <s v="Cash"/>
    <s v="Admitted"/>
    <n v="470"/>
    <s v="+91-6012309827"/>
  </r>
  <r>
    <x v="599"/>
    <x v="170"/>
    <n v="47"/>
    <x v="1"/>
    <s v="B+"/>
    <x v="3"/>
    <x v="6"/>
    <x v="11"/>
    <n v="422"/>
    <n v="3361"/>
    <n v="3256"/>
    <n v="14905"/>
    <n v="21944"/>
    <x v="137"/>
    <x v="53"/>
    <x v="4"/>
    <s v="Insurance"/>
    <s v="Admitted"/>
    <n v="315"/>
    <s v="+91-9555467593"/>
  </r>
  <r>
    <x v="600"/>
    <x v="144"/>
    <n v="18"/>
    <x v="0"/>
    <s v="A-"/>
    <x v="3"/>
    <x v="4"/>
    <x v="8"/>
    <n v="353"/>
    <n v="3979"/>
    <n v="3344"/>
    <n v="1886"/>
    <n v="9562"/>
    <x v="178"/>
    <x v="294"/>
    <x v="6"/>
    <s v="Card"/>
    <s v="Admitted"/>
    <n v="250"/>
    <s v="+91-7568711995"/>
  </r>
  <r>
    <x v="601"/>
    <x v="210"/>
    <n v="32"/>
    <x v="0"/>
    <s v="AB-"/>
    <x v="2"/>
    <x v="4"/>
    <x v="14"/>
    <n v="606"/>
    <n v="1994"/>
    <n v="4148"/>
    <n v="13182"/>
    <n v="19930"/>
    <x v="137"/>
    <x v="295"/>
    <x v="2"/>
    <s v="UPI"/>
    <s v="Discharged"/>
    <n v="900"/>
    <s v="+91-8769597436"/>
  </r>
  <r>
    <x v="602"/>
    <x v="26"/>
    <n v="15"/>
    <x v="0"/>
    <s v="O+"/>
    <x v="2"/>
    <x v="2"/>
    <x v="12"/>
    <n v="655"/>
    <n v="4622"/>
    <n v="1613"/>
    <n v="1178"/>
    <n v="8068"/>
    <x v="147"/>
    <x v="260"/>
    <x v="4"/>
    <s v="UPI"/>
    <s v="Under Treatment"/>
    <n v="332"/>
    <s v="+91-7819649893"/>
  </r>
  <r>
    <x v="603"/>
    <x v="151"/>
    <n v="12"/>
    <x v="1"/>
    <s v="A-"/>
    <x v="3"/>
    <x v="6"/>
    <x v="4"/>
    <n v="1120"/>
    <n v="958"/>
    <n v="2093"/>
    <n v="7427"/>
    <n v="11598"/>
    <x v="106"/>
    <x v="161"/>
    <x v="6"/>
    <s v="Insurance"/>
    <s v="Discharged"/>
    <n v="420"/>
    <s v="+91-8803324932"/>
  </r>
  <r>
    <x v="604"/>
    <x v="212"/>
    <n v="22"/>
    <x v="0"/>
    <s v="O-"/>
    <x v="1"/>
    <x v="5"/>
    <x v="14"/>
    <n v="698"/>
    <n v="2711"/>
    <n v="1188"/>
    <n v="2710"/>
    <n v="7307"/>
    <x v="71"/>
    <x v="255"/>
    <x v="6"/>
    <s v="Card"/>
    <s v="Discharged"/>
    <n v="266"/>
    <s v="+91-8326016489"/>
  </r>
  <r>
    <x v="605"/>
    <x v="2"/>
    <n v="28"/>
    <x v="0"/>
    <s v="A+"/>
    <x v="6"/>
    <x v="2"/>
    <x v="4"/>
    <n v="1429"/>
    <n v="2152"/>
    <n v="5529"/>
    <n v="1530"/>
    <n v="10640"/>
    <x v="268"/>
    <x v="155"/>
    <x v="5"/>
    <s v="Insurance"/>
    <s v="Admitted"/>
    <n v="149"/>
    <s v="+91-7351112065"/>
  </r>
  <r>
    <x v="606"/>
    <x v="121"/>
    <n v="2"/>
    <x v="1"/>
    <s v="A-"/>
    <x v="6"/>
    <x v="1"/>
    <x v="8"/>
    <n v="1324"/>
    <n v="2096"/>
    <n v="2876"/>
    <n v="13318"/>
    <n v="19614"/>
    <x v="255"/>
    <x v="266"/>
    <x v="9"/>
    <s v="Insurance"/>
    <s v="Under Treatment"/>
    <n v="615"/>
    <s v="+91-6433804094"/>
  </r>
  <r>
    <x v="607"/>
    <x v="193"/>
    <n v="4"/>
    <x v="1"/>
    <s v="B-"/>
    <x v="7"/>
    <x v="0"/>
    <x v="12"/>
    <n v="894"/>
    <n v="1820"/>
    <n v="1541"/>
    <n v="12180"/>
    <n v="16435"/>
    <x v="301"/>
    <x v="214"/>
    <x v="5"/>
    <s v="Card"/>
    <s v="Under Treatment"/>
    <n v="264"/>
    <s v="+91-8154441133"/>
  </r>
  <r>
    <x v="608"/>
    <x v="243"/>
    <n v="84"/>
    <x v="1"/>
    <s v="B-"/>
    <x v="7"/>
    <x v="0"/>
    <x v="0"/>
    <n v="994"/>
    <n v="2882"/>
    <n v="3251"/>
    <n v="11214"/>
    <n v="18341"/>
    <x v="234"/>
    <x v="296"/>
    <x v="1"/>
    <s v="Cash"/>
    <s v="Admitted"/>
    <n v="680"/>
    <s v="+91-8696335973"/>
  </r>
  <r>
    <x v="609"/>
    <x v="162"/>
    <n v="2"/>
    <x v="0"/>
    <s v="A-"/>
    <x v="6"/>
    <x v="1"/>
    <x v="6"/>
    <n v="1321"/>
    <n v="1270"/>
    <n v="4025"/>
    <n v="6139"/>
    <n v="12755"/>
    <x v="165"/>
    <x v="58"/>
    <x v="9"/>
    <s v="UPI"/>
    <s v="Discharged"/>
    <n v="191"/>
    <s v="+91-6305517870"/>
  </r>
  <r>
    <x v="610"/>
    <x v="227"/>
    <n v="34"/>
    <x v="1"/>
    <s v="AB+"/>
    <x v="6"/>
    <x v="4"/>
    <x v="1"/>
    <n v="587"/>
    <n v="1515"/>
    <n v="4959"/>
    <n v="8999"/>
    <n v="16060"/>
    <x v="16"/>
    <x v="150"/>
    <x v="2"/>
    <s v="Card"/>
    <s v="Discharged"/>
    <n v="475"/>
    <s v="+91-8201081617"/>
  </r>
  <r>
    <x v="611"/>
    <x v="27"/>
    <n v="48"/>
    <x v="0"/>
    <s v="A+"/>
    <x v="5"/>
    <x v="0"/>
    <x v="1"/>
    <n v="838"/>
    <n v="849"/>
    <n v="5384"/>
    <n v="11549"/>
    <n v="18620"/>
    <x v="87"/>
    <x v="297"/>
    <x v="3"/>
    <s v="Cash"/>
    <s v="Discharged"/>
    <n v="484"/>
    <s v="+91-6679488767"/>
  </r>
  <r>
    <x v="612"/>
    <x v="239"/>
    <n v="10"/>
    <x v="0"/>
    <s v="A-"/>
    <x v="5"/>
    <x v="5"/>
    <x v="1"/>
    <n v="491"/>
    <n v="3358"/>
    <n v="4116"/>
    <n v="8675"/>
    <n v="16640"/>
    <x v="7"/>
    <x v="218"/>
    <x v="4"/>
    <s v="Card"/>
    <s v="Under Treatment"/>
    <n v="210"/>
    <s v="+91-9940462185"/>
  </r>
  <r>
    <x v="613"/>
    <x v="32"/>
    <n v="26"/>
    <x v="1"/>
    <s v="A-"/>
    <x v="1"/>
    <x v="1"/>
    <x v="6"/>
    <n v="949"/>
    <n v="3305"/>
    <n v="5250"/>
    <n v="8967"/>
    <n v="18471"/>
    <x v="134"/>
    <x v="132"/>
    <x v="4"/>
    <s v="Insurance"/>
    <s v="Admitted"/>
    <n v="658"/>
    <s v="+91-6668902988"/>
  </r>
  <r>
    <x v="614"/>
    <x v="230"/>
    <n v="82"/>
    <x v="0"/>
    <s v="B-"/>
    <x v="1"/>
    <x v="5"/>
    <x v="12"/>
    <n v="1078"/>
    <n v="1011"/>
    <n v="7971"/>
    <n v="14247"/>
    <n v="24307"/>
    <x v="296"/>
    <x v="298"/>
    <x v="4"/>
    <s v="Card"/>
    <s v="Admitted"/>
    <n v="876"/>
    <s v="+91-8936346468"/>
  </r>
  <r>
    <x v="615"/>
    <x v="190"/>
    <n v="33"/>
    <x v="0"/>
    <s v="AB+"/>
    <x v="4"/>
    <x v="2"/>
    <x v="0"/>
    <n v="441"/>
    <n v="2743"/>
    <n v="3618"/>
    <n v="2338"/>
    <n v="9140"/>
    <x v="180"/>
    <x v="299"/>
    <x v="4"/>
    <s v="Card"/>
    <s v="Under Treatment"/>
    <n v="365"/>
    <s v="+91-6790610226"/>
  </r>
  <r>
    <x v="616"/>
    <x v="120"/>
    <n v="55"/>
    <x v="1"/>
    <s v="AB+"/>
    <x v="6"/>
    <x v="1"/>
    <x v="7"/>
    <n v="706"/>
    <n v="3361"/>
    <n v="3733"/>
    <n v="8890"/>
    <n v="16690"/>
    <x v="28"/>
    <x v="138"/>
    <x v="9"/>
    <s v="Insurance"/>
    <s v="Admitted"/>
    <n v="674"/>
    <s v="+91-9363270219"/>
  </r>
  <r>
    <x v="617"/>
    <x v="318"/>
    <n v="10"/>
    <x v="0"/>
    <s v="A-"/>
    <x v="1"/>
    <x v="6"/>
    <x v="13"/>
    <n v="329"/>
    <n v="1732"/>
    <n v="7644"/>
    <n v="8514"/>
    <n v="18219"/>
    <x v="79"/>
    <x v="89"/>
    <x v="8"/>
    <s v="Insurance"/>
    <s v="Discharged"/>
    <n v="633"/>
    <s v="+91-9102194933"/>
  </r>
  <r>
    <x v="618"/>
    <x v="255"/>
    <n v="17"/>
    <x v="1"/>
    <s v="AB+"/>
    <x v="4"/>
    <x v="0"/>
    <x v="12"/>
    <n v="747"/>
    <n v="2037"/>
    <n v="3742"/>
    <n v="12410"/>
    <n v="18936"/>
    <x v="211"/>
    <x v="300"/>
    <x v="6"/>
    <s v="UPI"/>
    <s v="Admitted"/>
    <n v="295"/>
    <s v="+91-8918981060"/>
  </r>
  <r>
    <x v="619"/>
    <x v="137"/>
    <n v="48"/>
    <x v="1"/>
    <s v="AB+"/>
    <x v="2"/>
    <x v="4"/>
    <x v="9"/>
    <n v="928"/>
    <n v="4613"/>
    <n v="7009"/>
    <n v="3043"/>
    <n v="15593"/>
    <x v="171"/>
    <x v="89"/>
    <x v="4"/>
    <s v="UPI"/>
    <s v="Discharged"/>
    <n v="948"/>
    <s v="+91-8329878086"/>
  </r>
  <r>
    <x v="620"/>
    <x v="319"/>
    <n v="43"/>
    <x v="0"/>
    <s v="AB+"/>
    <x v="3"/>
    <x v="4"/>
    <x v="1"/>
    <n v="1177"/>
    <n v="3556"/>
    <n v="1749"/>
    <n v="10056"/>
    <n v="16538"/>
    <x v="221"/>
    <x v="197"/>
    <x v="3"/>
    <s v="UPI"/>
    <s v="Under Treatment"/>
    <n v="805"/>
    <s v="+91-8921788232"/>
  </r>
  <r>
    <x v="621"/>
    <x v="305"/>
    <n v="80"/>
    <x v="0"/>
    <s v="A-"/>
    <x v="4"/>
    <x v="3"/>
    <x v="11"/>
    <n v="483"/>
    <n v="634"/>
    <n v="5348"/>
    <n v="7738"/>
    <n v="14203"/>
    <x v="302"/>
    <x v="146"/>
    <x v="6"/>
    <s v="Insurance"/>
    <s v="Under Treatment"/>
    <n v="695"/>
    <s v="+91-9461188083"/>
  </r>
  <r>
    <x v="622"/>
    <x v="158"/>
    <n v="54"/>
    <x v="0"/>
    <s v="AB-"/>
    <x v="0"/>
    <x v="4"/>
    <x v="1"/>
    <n v="1429"/>
    <n v="3621"/>
    <n v="1237"/>
    <n v="4204"/>
    <n v="10491"/>
    <x v="303"/>
    <x v="2"/>
    <x v="8"/>
    <s v="Insurance"/>
    <s v="Admitted"/>
    <n v="483"/>
    <s v="+91-9359506482"/>
  </r>
  <r>
    <x v="623"/>
    <x v="320"/>
    <n v="37"/>
    <x v="1"/>
    <s v="B+"/>
    <x v="6"/>
    <x v="6"/>
    <x v="9"/>
    <n v="1149"/>
    <n v="2478"/>
    <n v="334"/>
    <n v="7792"/>
    <n v="11753"/>
    <x v="88"/>
    <x v="41"/>
    <x v="0"/>
    <s v="UPI"/>
    <s v="Under Treatment"/>
    <n v="939"/>
    <s v="+91-9183624872"/>
  </r>
  <r>
    <x v="624"/>
    <x v="27"/>
    <n v="43"/>
    <x v="0"/>
    <s v="AB+"/>
    <x v="5"/>
    <x v="0"/>
    <x v="3"/>
    <n v="1438"/>
    <n v="3706"/>
    <n v="1878"/>
    <n v="11096"/>
    <n v="18118"/>
    <x v="63"/>
    <x v="279"/>
    <x v="0"/>
    <s v="Insurance"/>
    <s v="Under Treatment"/>
    <n v="277"/>
    <s v="+91-7731382986"/>
  </r>
  <r>
    <x v="625"/>
    <x v="184"/>
    <n v="21"/>
    <x v="1"/>
    <s v="B+"/>
    <x v="0"/>
    <x v="1"/>
    <x v="11"/>
    <n v="558"/>
    <n v="4630"/>
    <n v="1269"/>
    <n v="11345"/>
    <n v="17802"/>
    <x v="94"/>
    <x v="301"/>
    <x v="2"/>
    <s v="Card"/>
    <s v="Admitted"/>
    <n v="195"/>
    <s v="+91-6110123941"/>
  </r>
  <r>
    <x v="626"/>
    <x v="321"/>
    <n v="81"/>
    <x v="0"/>
    <s v="B+"/>
    <x v="2"/>
    <x v="0"/>
    <x v="6"/>
    <n v="1471"/>
    <n v="3632"/>
    <n v="507"/>
    <n v="13162"/>
    <n v="18772"/>
    <x v="144"/>
    <x v="268"/>
    <x v="8"/>
    <s v="Card"/>
    <s v="Discharged"/>
    <n v="298"/>
    <s v="+91-8299599426"/>
  </r>
  <r>
    <x v="627"/>
    <x v="215"/>
    <n v="34"/>
    <x v="0"/>
    <s v="A-"/>
    <x v="6"/>
    <x v="5"/>
    <x v="6"/>
    <n v="594"/>
    <n v="689"/>
    <n v="5529"/>
    <n v="10492"/>
    <n v="17304"/>
    <x v="254"/>
    <x v="258"/>
    <x v="4"/>
    <s v="Card"/>
    <s v="Discharged"/>
    <n v="368"/>
    <s v="+91-9842298310"/>
  </r>
  <r>
    <x v="628"/>
    <x v="16"/>
    <n v="10"/>
    <x v="1"/>
    <s v="AB-"/>
    <x v="1"/>
    <x v="3"/>
    <x v="4"/>
    <n v="1100"/>
    <n v="1324"/>
    <n v="4322"/>
    <n v="14032"/>
    <n v="20778"/>
    <x v="304"/>
    <x v="48"/>
    <x v="5"/>
    <s v="Cash"/>
    <s v="Admitted"/>
    <n v="803"/>
    <s v="+91-7803487332"/>
  </r>
  <r>
    <x v="629"/>
    <x v="322"/>
    <n v="82"/>
    <x v="1"/>
    <s v="A+"/>
    <x v="3"/>
    <x v="5"/>
    <x v="7"/>
    <n v="911"/>
    <n v="583"/>
    <n v="7702"/>
    <n v="3927"/>
    <n v="13123"/>
    <x v="289"/>
    <x v="244"/>
    <x v="6"/>
    <s v="UPI"/>
    <s v="Discharged"/>
    <n v="595"/>
    <s v="+91-8637131382"/>
  </r>
  <r>
    <x v="630"/>
    <x v="323"/>
    <n v="1"/>
    <x v="0"/>
    <s v="B-"/>
    <x v="6"/>
    <x v="6"/>
    <x v="11"/>
    <n v="694"/>
    <n v="742"/>
    <n v="4690"/>
    <n v="1377"/>
    <n v="7503"/>
    <x v="305"/>
    <x v="69"/>
    <x v="9"/>
    <s v="UPI"/>
    <s v="Admitted"/>
    <n v="322"/>
    <s v="+91-6126691301"/>
  </r>
  <r>
    <x v="631"/>
    <x v="269"/>
    <n v="29"/>
    <x v="0"/>
    <s v="O+"/>
    <x v="3"/>
    <x v="4"/>
    <x v="10"/>
    <n v="860"/>
    <n v="4445"/>
    <n v="1932"/>
    <n v="2506"/>
    <n v="9743"/>
    <x v="110"/>
    <x v="241"/>
    <x v="3"/>
    <s v="Insurance"/>
    <s v="Discharged"/>
    <n v="624"/>
    <s v="+91-7717738450"/>
  </r>
  <r>
    <x v="632"/>
    <x v="4"/>
    <n v="23"/>
    <x v="0"/>
    <s v="AB-"/>
    <x v="6"/>
    <x v="4"/>
    <x v="8"/>
    <n v="510"/>
    <n v="3052"/>
    <n v="1657"/>
    <n v="14010"/>
    <n v="19229"/>
    <x v="132"/>
    <x v="179"/>
    <x v="1"/>
    <s v="UPI"/>
    <s v="Discharged"/>
    <n v="737"/>
    <s v="+91-6461962857"/>
  </r>
  <r>
    <x v="633"/>
    <x v="167"/>
    <n v="55"/>
    <x v="0"/>
    <s v="AB+"/>
    <x v="1"/>
    <x v="1"/>
    <x v="2"/>
    <n v="431"/>
    <n v="4181"/>
    <n v="1670"/>
    <n v="1553"/>
    <n v="7835"/>
    <x v="168"/>
    <x v="42"/>
    <x v="6"/>
    <s v="UPI"/>
    <s v="Discharged"/>
    <n v="130"/>
    <s v="+91-6492417800"/>
  </r>
  <r>
    <x v="634"/>
    <x v="169"/>
    <n v="55"/>
    <x v="0"/>
    <s v="A-"/>
    <x v="1"/>
    <x v="5"/>
    <x v="3"/>
    <n v="448"/>
    <n v="2262"/>
    <n v="5681"/>
    <n v="7089"/>
    <n v="15480"/>
    <x v="65"/>
    <x v="189"/>
    <x v="8"/>
    <s v="UPI"/>
    <s v="Under Treatment"/>
    <n v="111"/>
    <s v="+91-9078643818"/>
  </r>
  <r>
    <x v="635"/>
    <x v="235"/>
    <n v="60"/>
    <x v="1"/>
    <s v="O+"/>
    <x v="0"/>
    <x v="3"/>
    <x v="6"/>
    <n v="1089"/>
    <n v="2823"/>
    <n v="5229"/>
    <n v="4476"/>
    <n v="13617"/>
    <x v="152"/>
    <x v="192"/>
    <x v="5"/>
    <s v="Cash"/>
    <s v="Under Treatment"/>
    <n v="761"/>
    <s v="+91-7811403045"/>
  </r>
  <r>
    <x v="636"/>
    <x v="274"/>
    <n v="41"/>
    <x v="0"/>
    <s v="AB-"/>
    <x v="0"/>
    <x v="0"/>
    <x v="12"/>
    <n v="1311"/>
    <n v="4584"/>
    <n v="683"/>
    <n v="5496"/>
    <n v="12074"/>
    <x v="300"/>
    <x v="40"/>
    <x v="5"/>
    <s v="UPI"/>
    <s v="Under Treatment"/>
    <n v="492"/>
    <s v="+91-7015424386"/>
  </r>
  <r>
    <x v="637"/>
    <x v="137"/>
    <n v="37"/>
    <x v="0"/>
    <s v="A+"/>
    <x v="2"/>
    <x v="1"/>
    <x v="1"/>
    <n v="882"/>
    <n v="1573"/>
    <n v="7194"/>
    <n v="7599"/>
    <n v="17248"/>
    <x v="306"/>
    <x v="218"/>
    <x v="3"/>
    <s v="Cash"/>
    <s v="Admitted"/>
    <n v="581"/>
    <s v="+91-6408536494"/>
  </r>
  <r>
    <x v="638"/>
    <x v="305"/>
    <n v="36"/>
    <x v="1"/>
    <s v="AB-"/>
    <x v="1"/>
    <x v="4"/>
    <x v="8"/>
    <n v="463"/>
    <n v="3065"/>
    <n v="4345"/>
    <n v="11032"/>
    <n v="18905"/>
    <x v="307"/>
    <x v="279"/>
    <x v="2"/>
    <s v="Cash"/>
    <s v="Discharged"/>
    <n v="732"/>
    <s v="+91-6441280475"/>
  </r>
  <r>
    <x v="639"/>
    <x v="112"/>
    <n v="7"/>
    <x v="0"/>
    <s v="A+"/>
    <x v="3"/>
    <x v="3"/>
    <x v="11"/>
    <n v="961"/>
    <n v="4069"/>
    <n v="2154"/>
    <n v="3788"/>
    <n v="10972"/>
    <x v="237"/>
    <x v="38"/>
    <x v="8"/>
    <s v="Cash"/>
    <s v="Discharged"/>
    <n v="903"/>
    <s v="+91-6185010792"/>
  </r>
  <r>
    <x v="640"/>
    <x v="177"/>
    <n v="39"/>
    <x v="0"/>
    <s v="A-"/>
    <x v="6"/>
    <x v="0"/>
    <x v="13"/>
    <n v="1077"/>
    <n v="2711"/>
    <n v="6023"/>
    <n v="3790"/>
    <n v="13601"/>
    <x v="136"/>
    <x v="162"/>
    <x v="4"/>
    <s v="UPI"/>
    <s v="Admitted"/>
    <n v="871"/>
    <s v="+91-8508820533"/>
  </r>
  <r>
    <x v="641"/>
    <x v="285"/>
    <n v="16"/>
    <x v="0"/>
    <s v="O+"/>
    <x v="7"/>
    <x v="6"/>
    <x v="15"/>
    <n v="874"/>
    <n v="3137"/>
    <n v="6629"/>
    <n v="12974"/>
    <n v="23614"/>
    <x v="308"/>
    <x v="100"/>
    <x v="5"/>
    <s v="UPI"/>
    <s v="Under Treatment"/>
    <n v="184"/>
    <s v="+91-7516165099"/>
  </r>
  <r>
    <x v="642"/>
    <x v="245"/>
    <n v="85"/>
    <x v="0"/>
    <s v="AB+"/>
    <x v="4"/>
    <x v="0"/>
    <x v="6"/>
    <n v="1312"/>
    <n v="993"/>
    <n v="2040"/>
    <n v="1215"/>
    <n v="5560"/>
    <x v="274"/>
    <x v="219"/>
    <x v="4"/>
    <s v="Insurance"/>
    <s v="Admitted"/>
    <n v="448"/>
    <s v="+91-6896194129"/>
  </r>
  <r>
    <x v="643"/>
    <x v="39"/>
    <n v="66"/>
    <x v="1"/>
    <s v="AB-"/>
    <x v="6"/>
    <x v="6"/>
    <x v="1"/>
    <n v="615"/>
    <n v="4632"/>
    <n v="1165"/>
    <n v="3130"/>
    <n v="9542"/>
    <x v="191"/>
    <x v="150"/>
    <x v="1"/>
    <s v="Card"/>
    <s v="Discharged"/>
    <n v="292"/>
    <s v="+91-6294803584"/>
  </r>
  <r>
    <x v="644"/>
    <x v="165"/>
    <n v="22"/>
    <x v="1"/>
    <s v="B+"/>
    <x v="4"/>
    <x v="1"/>
    <x v="0"/>
    <n v="1244"/>
    <n v="1377"/>
    <n v="6403"/>
    <n v="2805"/>
    <n v="11829"/>
    <x v="268"/>
    <x v="238"/>
    <x v="4"/>
    <s v="Cash"/>
    <s v="Discharged"/>
    <n v="777"/>
    <s v="+91-8280135461"/>
  </r>
  <r>
    <x v="645"/>
    <x v="141"/>
    <n v="34"/>
    <x v="0"/>
    <s v="O-"/>
    <x v="4"/>
    <x v="5"/>
    <x v="2"/>
    <n v="1183"/>
    <n v="2237"/>
    <n v="1533"/>
    <n v="7503"/>
    <n v="12456"/>
    <x v="252"/>
    <x v="298"/>
    <x v="3"/>
    <s v="Insurance"/>
    <s v="Discharged"/>
    <n v="478"/>
    <s v="+91-6420102358"/>
  </r>
  <r>
    <x v="646"/>
    <x v="81"/>
    <n v="55"/>
    <x v="0"/>
    <s v="AB+"/>
    <x v="6"/>
    <x v="5"/>
    <x v="4"/>
    <n v="1124"/>
    <n v="1947"/>
    <n v="5166"/>
    <n v="5520"/>
    <n v="13757"/>
    <x v="103"/>
    <x v="49"/>
    <x v="4"/>
    <s v="Cash"/>
    <s v="Under Treatment"/>
    <n v="354"/>
    <s v="+91-6477096961"/>
  </r>
  <r>
    <x v="647"/>
    <x v="48"/>
    <n v="7"/>
    <x v="0"/>
    <s v="AB+"/>
    <x v="6"/>
    <x v="4"/>
    <x v="3"/>
    <n v="434"/>
    <n v="4859"/>
    <n v="1127"/>
    <n v="5513"/>
    <n v="11933"/>
    <x v="227"/>
    <x v="16"/>
    <x v="1"/>
    <s v="Cash"/>
    <s v="Admitted"/>
    <n v="851"/>
    <s v="+91-9539347914"/>
  </r>
  <r>
    <x v="648"/>
    <x v="317"/>
    <n v="27"/>
    <x v="0"/>
    <s v="AB-"/>
    <x v="0"/>
    <x v="3"/>
    <x v="2"/>
    <n v="889"/>
    <n v="2859"/>
    <n v="6311"/>
    <n v="1050"/>
    <n v="11109"/>
    <x v="281"/>
    <x v="111"/>
    <x v="3"/>
    <s v="UPI"/>
    <s v="Under Treatment"/>
    <n v="344"/>
    <s v="+91-6731143355"/>
  </r>
  <r>
    <x v="649"/>
    <x v="129"/>
    <n v="22"/>
    <x v="0"/>
    <s v="B+"/>
    <x v="1"/>
    <x v="1"/>
    <x v="1"/>
    <n v="590"/>
    <n v="604"/>
    <n v="5756"/>
    <n v="8775"/>
    <n v="15725"/>
    <x v="278"/>
    <x v="140"/>
    <x v="0"/>
    <s v="Cash"/>
    <s v="Admitted"/>
    <n v="795"/>
    <s v="+91-9265295069"/>
  </r>
  <r>
    <x v="650"/>
    <x v="35"/>
    <n v="46"/>
    <x v="1"/>
    <s v="B-"/>
    <x v="2"/>
    <x v="2"/>
    <x v="15"/>
    <n v="806"/>
    <n v="4371"/>
    <n v="1196"/>
    <n v="1740"/>
    <n v="8113"/>
    <x v="116"/>
    <x v="244"/>
    <x v="2"/>
    <s v="Card"/>
    <s v="Admitted"/>
    <n v="893"/>
    <s v="+91-6403340801"/>
  </r>
  <r>
    <x v="651"/>
    <x v="214"/>
    <n v="43"/>
    <x v="1"/>
    <s v="A+"/>
    <x v="7"/>
    <x v="6"/>
    <x v="2"/>
    <n v="1417"/>
    <n v="2608"/>
    <n v="5734"/>
    <n v="8970"/>
    <n v="18729"/>
    <x v="309"/>
    <x v="150"/>
    <x v="4"/>
    <s v="UPI"/>
    <s v="Discharged"/>
    <n v="827"/>
    <s v="+91-7433397518"/>
  </r>
  <r>
    <x v="652"/>
    <x v="243"/>
    <n v="62"/>
    <x v="0"/>
    <s v="AB-"/>
    <x v="6"/>
    <x v="5"/>
    <x v="5"/>
    <n v="602"/>
    <n v="3861"/>
    <n v="7314"/>
    <n v="4608"/>
    <n v="16385"/>
    <x v="289"/>
    <x v="178"/>
    <x v="8"/>
    <s v="Card"/>
    <s v="Under Treatment"/>
    <n v="858"/>
    <s v="+91-8988464377"/>
  </r>
  <r>
    <x v="653"/>
    <x v="110"/>
    <n v="27"/>
    <x v="0"/>
    <s v="B+"/>
    <x v="0"/>
    <x v="1"/>
    <x v="8"/>
    <n v="521"/>
    <n v="2743"/>
    <n v="7485"/>
    <n v="11270"/>
    <n v="22019"/>
    <x v="236"/>
    <x v="302"/>
    <x v="4"/>
    <s v="UPI"/>
    <s v="Discharged"/>
    <n v="500"/>
    <s v="+91-8530370695"/>
  </r>
  <r>
    <x v="654"/>
    <x v="190"/>
    <n v="40"/>
    <x v="0"/>
    <s v="A-"/>
    <x v="2"/>
    <x v="5"/>
    <x v="13"/>
    <n v="551"/>
    <n v="4050"/>
    <n v="6815"/>
    <n v="8455"/>
    <n v="19871"/>
    <x v="226"/>
    <x v="99"/>
    <x v="2"/>
    <s v="Insurance"/>
    <s v="Under Treatment"/>
    <n v="250"/>
    <s v="+91-8002818294"/>
  </r>
  <r>
    <x v="655"/>
    <x v="206"/>
    <n v="38"/>
    <x v="0"/>
    <s v="B-"/>
    <x v="6"/>
    <x v="1"/>
    <x v="15"/>
    <n v="890"/>
    <n v="1029"/>
    <n v="6851"/>
    <n v="5828"/>
    <n v="14598"/>
    <x v="217"/>
    <x v="268"/>
    <x v="0"/>
    <s v="Cash"/>
    <s v="Admitted"/>
    <n v="600"/>
    <s v="+91-7313493359"/>
  </r>
  <r>
    <x v="656"/>
    <x v="324"/>
    <n v="46"/>
    <x v="0"/>
    <s v="B+"/>
    <x v="2"/>
    <x v="5"/>
    <x v="10"/>
    <n v="582"/>
    <n v="3368"/>
    <n v="7498"/>
    <n v="5641"/>
    <n v="17089"/>
    <x v="252"/>
    <x v="303"/>
    <x v="3"/>
    <s v="UPI"/>
    <s v="Admitted"/>
    <n v="850"/>
    <s v="+91-6844937806"/>
  </r>
  <r>
    <x v="657"/>
    <x v="257"/>
    <n v="11"/>
    <x v="1"/>
    <s v="AB+"/>
    <x v="0"/>
    <x v="4"/>
    <x v="12"/>
    <n v="1269"/>
    <n v="3405"/>
    <n v="2337"/>
    <n v="14299"/>
    <n v="21310"/>
    <x v="236"/>
    <x v="304"/>
    <x v="1"/>
    <s v="Cash"/>
    <s v="Discharged"/>
    <n v="409"/>
    <s v="+91-8564262105"/>
  </r>
  <r>
    <x v="658"/>
    <x v="139"/>
    <n v="73"/>
    <x v="1"/>
    <s v="O+"/>
    <x v="1"/>
    <x v="5"/>
    <x v="0"/>
    <n v="708"/>
    <n v="2548"/>
    <n v="1411"/>
    <n v="7820"/>
    <n v="12487"/>
    <x v="74"/>
    <x v="86"/>
    <x v="2"/>
    <s v="UPI"/>
    <s v="Under Treatment"/>
    <n v="743"/>
    <s v="+91-7980642986"/>
  </r>
  <r>
    <x v="659"/>
    <x v="238"/>
    <n v="49"/>
    <x v="1"/>
    <s v="AB-"/>
    <x v="4"/>
    <x v="1"/>
    <x v="0"/>
    <n v="1378"/>
    <n v="4120"/>
    <n v="5986"/>
    <n v="6132"/>
    <n v="17616"/>
    <x v="252"/>
    <x v="35"/>
    <x v="8"/>
    <s v="Insurance"/>
    <s v="Discharged"/>
    <n v="530"/>
    <s v="+91-7762047368"/>
  </r>
  <r>
    <x v="660"/>
    <x v="249"/>
    <n v="72"/>
    <x v="0"/>
    <s v="B+"/>
    <x v="5"/>
    <x v="2"/>
    <x v="6"/>
    <n v="587"/>
    <n v="2977"/>
    <n v="6744"/>
    <n v="4975"/>
    <n v="15283"/>
    <x v="182"/>
    <x v="69"/>
    <x v="8"/>
    <s v="UPI"/>
    <s v="Admitted"/>
    <n v="873"/>
    <s v="+91-9629708388"/>
  </r>
  <r>
    <x v="661"/>
    <x v="51"/>
    <n v="52"/>
    <x v="0"/>
    <s v="A-"/>
    <x v="7"/>
    <x v="6"/>
    <x v="1"/>
    <n v="411"/>
    <n v="1193"/>
    <n v="748"/>
    <n v="5426"/>
    <n v="7778"/>
    <x v="115"/>
    <x v="294"/>
    <x v="8"/>
    <s v="UPI"/>
    <s v="Under Treatment"/>
    <n v="593"/>
    <s v="+91-8966073929"/>
  </r>
  <r>
    <x v="662"/>
    <x v="217"/>
    <n v="16"/>
    <x v="0"/>
    <s v="O+"/>
    <x v="0"/>
    <x v="3"/>
    <x v="0"/>
    <n v="1451"/>
    <n v="4557"/>
    <n v="1417"/>
    <n v="4662"/>
    <n v="12087"/>
    <x v="310"/>
    <x v="292"/>
    <x v="9"/>
    <s v="UPI"/>
    <s v="Under Treatment"/>
    <n v="106"/>
    <s v="+91-9460097998"/>
  </r>
  <r>
    <x v="663"/>
    <x v="325"/>
    <n v="26"/>
    <x v="0"/>
    <s v="AB-"/>
    <x v="4"/>
    <x v="5"/>
    <x v="5"/>
    <n v="613"/>
    <n v="1491"/>
    <n v="4558"/>
    <n v="2587"/>
    <n v="9249"/>
    <x v="311"/>
    <x v="305"/>
    <x v="5"/>
    <s v="Insurance"/>
    <s v="Discharged"/>
    <n v="156"/>
    <s v="+91-9977330607"/>
  </r>
  <r>
    <x v="664"/>
    <x v="214"/>
    <n v="52"/>
    <x v="1"/>
    <s v="A-"/>
    <x v="3"/>
    <x v="4"/>
    <x v="3"/>
    <n v="1419"/>
    <n v="2632"/>
    <n v="7031"/>
    <n v="11039"/>
    <n v="22121"/>
    <x v="265"/>
    <x v="306"/>
    <x v="6"/>
    <s v="Card"/>
    <s v="Under Treatment"/>
    <n v="122"/>
    <s v="+91-6793743692"/>
  </r>
  <r>
    <x v="665"/>
    <x v="74"/>
    <n v="22"/>
    <x v="0"/>
    <s v="O+"/>
    <x v="7"/>
    <x v="4"/>
    <x v="15"/>
    <n v="893"/>
    <n v="2871"/>
    <n v="5768"/>
    <n v="2638"/>
    <n v="12170"/>
    <x v="125"/>
    <x v="122"/>
    <x v="8"/>
    <s v="Insurance"/>
    <s v="Under Treatment"/>
    <n v="919"/>
    <s v="+91-6461003924"/>
  </r>
  <r>
    <x v="666"/>
    <x v="261"/>
    <n v="55"/>
    <x v="0"/>
    <s v="A+"/>
    <x v="2"/>
    <x v="3"/>
    <x v="9"/>
    <n v="1236"/>
    <n v="1484"/>
    <n v="4922"/>
    <n v="7380"/>
    <n v="15022"/>
    <x v="282"/>
    <x v="227"/>
    <x v="2"/>
    <s v="Insurance"/>
    <s v="Admitted"/>
    <n v="463"/>
    <s v="+91-6598304077"/>
  </r>
  <r>
    <x v="667"/>
    <x v="202"/>
    <n v="36"/>
    <x v="0"/>
    <s v="A-"/>
    <x v="3"/>
    <x v="0"/>
    <x v="2"/>
    <n v="1325"/>
    <n v="4622"/>
    <n v="2026"/>
    <n v="6715"/>
    <n v="14688"/>
    <x v="312"/>
    <x v="231"/>
    <x v="1"/>
    <s v="Card"/>
    <s v="Discharged"/>
    <n v="771"/>
    <s v="+91-9088979586"/>
  </r>
  <r>
    <x v="668"/>
    <x v="326"/>
    <n v="59"/>
    <x v="0"/>
    <s v="AB-"/>
    <x v="6"/>
    <x v="2"/>
    <x v="9"/>
    <n v="1106"/>
    <n v="1058"/>
    <n v="7805"/>
    <n v="14751"/>
    <n v="24720"/>
    <x v="313"/>
    <x v="50"/>
    <x v="1"/>
    <s v="Card"/>
    <s v="Under Treatment"/>
    <n v="825"/>
    <s v="+91-9983205279"/>
  </r>
  <r>
    <x v="669"/>
    <x v="327"/>
    <n v="34"/>
    <x v="0"/>
    <s v="A-"/>
    <x v="1"/>
    <x v="3"/>
    <x v="2"/>
    <n v="1497"/>
    <n v="3807"/>
    <n v="853"/>
    <n v="1736"/>
    <n v="7893"/>
    <x v="140"/>
    <x v="148"/>
    <x v="7"/>
    <s v="Cash"/>
    <s v="Discharged"/>
    <n v="795"/>
    <s v="+91-8046178280"/>
  </r>
  <r>
    <x v="670"/>
    <x v="17"/>
    <n v="31"/>
    <x v="0"/>
    <s v="A-"/>
    <x v="3"/>
    <x v="4"/>
    <x v="8"/>
    <n v="1160"/>
    <n v="1027"/>
    <n v="807"/>
    <n v="11025"/>
    <n v="14019"/>
    <x v="175"/>
    <x v="307"/>
    <x v="0"/>
    <s v="UPI"/>
    <s v="Under Treatment"/>
    <n v="746"/>
    <s v="+91-9610690336"/>
  </r>
  <r>
    <x v="671"/>
    <x v="316"/>
    <n v="42"/>
    <x v="0"/>
    <s v="B-"/>
    <x v="7"/>
    <x v="0"/>
    <x v="8"/>
    <n v="572"/>
    <n v="2136"/>
    <n v="1903"/>
    <n v="5136"/>
    <n v="9747"/>
    <x v="197"/>
    <x v="306"/>
    <x v="2"/>
    <s v="Card"/>
    <s v="Discharged"/>
    <n v="933"/>
    <s v="+91-8270016678"/>
  </r>
  <r>
    <x v="672"/>
    <x v="233"/>
    <n v="75"/>
    <x v="0"/>
    <s v="A-"/>
    <x v="4"/>
    <x v="1"/>
    <x v="4"/>
    <n v="368"/>
    <n v="1651"/>
    <n v="7617"/>
    <n v="1085"/>
    <n v="10721"/>
    <x v="270"/>
    <x v="271"/>
    <x v="6"/>
    <s v="Card"/>
    <s v="Under Treatment"/>
    <n v="847"/>
    <s v="+91-9912665808"/>
  </r>
  <r>
    <x v="673"/>
    <x v="208"/>
    <n v="25"/>
    <x v="0"/>
    <s v="A-"/>
    <x v="7"/>
    <x v="2"/>
    <x v="2"/>
    <n v="1030"/>
    <n v="1629"/>
    <n v="6866"/>
    <n v="2100"/>
    <n v="11625"/>
    <x v="188"/>
    <x v="290"/>
    <x v="1"/>
    <s v="Cash"/>
    <s v="Admitted"/>
    <n v="901"/>
    <s v="+91-8221558385"/>
  </r>
  <r>
    <x v="674"/>
    <x v="328"/>
    <n v="16"/>
    <x v="1"/>
    <s v="O-"/>
    <x v="0"/>
    <x v="5"/>
    <x v="12"/>
    <n v="1407"/>
    <n v="3210"/>
    <n v="484"/>
    <n v="4670"/>
    <n v="9771"/>
    <x v="104"/>
    <x v="55"/>
    <x v="1"/>
    <s v="Card"/>
    <s v="Discharged"/>
    <n v="176"/>
    <s v="+91-8295332770"/>
  </r>
  <r>
    <x v="675"/>
    <x v="69"/>
    <n v="67"/>
    <x v="1"/>
    <s v="A+"/>
    <x v="5"/>
    <x v="1"/>
    <x v="12"/>
    <n v="1418"/>
    <n v="1408"/>
    <n v="5074"/>
    <n v="8716"/>
    <n v="16616"/>
    <x v="128"/>
    <x v="18"/>
    <x v="0"/>
    <s v="Insurance"/>
    <s v="Discharged"/>
    <n v="305"/>
    <s v="+91-7436843691"/>
  </r>
  <r>
    <x v="676"/>
    <x v="258"/>
    <n v="27"/>
    <x v="1"/>
    <s v="O-"/>
    <x v="2"/>
    <x v="5"/>
    <x v="3"/>
    <n v="1310"/>
    <n v="1097"/>
    <n v="6899"/>
    <n v="10238"/>
    <n v="19544"/>
    <x v="314"/>
    <x v="132"/>
    <x v="0"/>
    <s v="Insurance"/>
    <s v="Under Treatment"/>
    <n v="857"/>
    <s v="+91-8630378189"/>
  </r>
  <r>
    <x v="677"/>
    <x v="89"/>
    <n v="62"/>
    <x v="0"/>
    <s v="AB+"/>
    <x v="6"/>
    <x v="4"/>
    <x v="12"/>
    <n v="513"/>
    <n v="791"/>
    <n v="4368"/>
    <n v="9316"/>
    <n v="14988"/>
    <x v="227"/>
    <x v="33"/>
    <x v="8"/>
    <s v="UPI"/>
    <s v="Admitted"/>
    <n v="121"/>
    <s v="+91-9999673414"/>
  </r>
  <r>
    <x v="678"/>
    <x v="329"/>
    <n v="26"/>
    <x v="1"/>
    <s v="AB+"/>
    <x v="2"/>
    <x v="2"/>
    <x v="15"/>
    <n v="406"/>
    <n v="3671"/>
    <n v="6572"/>
    <n v="7180"/>
    <n v="17829"/>
    <x v="27"/>
    <x v="153"/>
    <x v="1"/>
    <s v="Card"/>
    <s v="Admitted"/>
    <n v="548"/>
    <s v="+91-6506774170"/>
  </r>
  <r>
    <x v="679"/>
    <x v="330"/>
    <n v="46"/>
    <x v="0"/>
    <s v="AB+"/>
    <x v="1"/>
    <x v="3"/>
    <x v="14"/>
    <n v="418"/>
    <n v="2451"/>
    <n v="2200"/>
    <n v="2507"/>
    <n v="7576"/>
    <x v="125"/>
    <x v="190"/>
    <x v="7"/>
    <s v="Cash"/>
    <s v="Admitted"/>
    <n v="994"/>
    <s v="+91-9091632789"/>
  </r>
  <r>
    <x v="680"/>
    <x v="144"/>
    <n v="10"/>
    <x v="0"/>
    <s v="O+"/>
    <x v="3"/>
    <x v="0"/>
    <x v="1"/>
    <n v="669"/>
    <n v="2815"/>
    <n v="658"/>
    <n v="6146"/>
    <n v="10288"/>
    <x v="293"/>
    <x v="77"/>
    <x v="7"/>
    <s v="Insurance"/>
    <s v="Discharged"/>
    <n v="773"/>
    <s v="+91-6525602454"/>
  </r>
  <r>
    <x v="681"/>
    <x v="186"/>
    <n v="33"/>
    <x v="0"/>
    <s v="B-"/>
    <x v="7"/>
    <x v="2"/>
    <x v="2"/>
    <n v="751"/>
    <n v="4133"/>
    <n v="6141"/>
    <n v="5959"/>
    <n v="16984"/>
    <x v="315"/>
    <x v="287"/>
    <x v="2"/>
    <s v="UPI"/>
    <s v="Discharged"/>
    <n v="814"/>
    <s v="+91-8325377663"/>
  </r>
  <r>
    <x v="682"/>
    <x v="331"/>
    <n v="7"/>
    <x v="1"/>
    <s v="B-"/>
    <x v="5"/>
    <x v="5"/>
    <x v="15"/>
    <n v="872"/>
    <n v="1142"/>
    <n v="1967"/>
    <n v="3246"/>
    <n v="7227"/>
    <x v="126"/>
    <x v="54"/>
    <x v="2"/>
    <s v="UPI"/>
    <s v="Under Treatment"/>
    <n v="935"/>
    <s v="+91-9384176787"/>
  </r>
  <r>
    <x v="683"/>
    <x v="315"/>
    <n v="31"/>
    <x v="1"/>
    <s v="AB+"/>
    <x v="7"/>
    <x v="1"/>
    <x v="11"/>
    <n v="343"/>
    <n v="4587"/>
    <n v="7151"/>
    <n v="1553"/>
    <n v="13634"/>
    <x v="316"/>
    <x v="308"/>
    <x v="6"/>
    <s v="Cash"/>
    <s v="Admitted"/>
    <n v="385"/>
    <s v="+91-9670368414"/>
  </r>
  <r>
    <x v="684"/>
    <x v="167"/>
    <n v="64"/>
    <x v="0"/>
    <s v="A+"/>
    <x v="5"/>
    <x v="3"/>
    <x v="8"/>
    <n v="1209"/>
    <n v="863"/>
    <n v="2138"/>
    <n v="4370"/>
    <n v="8580"/>
    <x v="317"/>
    <x v="111"/>
    <x v="1"/>
    <s v="UPI"/>
    <s v="Admitted"/>
    <n v="654"/>
    <s v="+91-9277044196"/>
  </r>
  <r>
    <x v="685"/>
    <x v="266"/>
    <n v="78"/>
    <x v="1"/>
    <s v="A+"/>
    <x v="6"/>
    <x v="6"/>
    <x v="4"/>
    <n v="356"/>
    <n v="3293"/>
    <n v="6245"/>
    <n v="14586"/>
    <n v="24480"/>
    <x v="266"/>
    <x v="175"/>
    <x v="1"/>
    <s v="Cash"/>
    <s v="Under Treatment"/>
    <n v="497"/>
    <s v="+91-9097947126"/>
  </r>
  <r>
    <x v="686"/>
    <x v="288"/>
    <n v="60"/>
    <x v="1"/>
    <s v="O+"/>
    <x v="6"/>
    <x v="5"/>
    <x v="7"/>
    <n v="1080"/>
    <n v="4328"/>
    <n v="6408"/>
    <n v="4903"/>
    <n v="16719"/>
    <x v="167"/>
    <x v="41"/>
    <x v="2"/>
    <s v="Card"/>
    <s v="Under Treatment"/>
    <n v="402"/>
    <s v="+91-7449690416"/>
  </r>
  <r>
    <x v="687"/>
    <x v="239"/>
    <n v="5"/>
    <x v="1"/>
    <s v="O+"/>
    <x v="1"/>
    <x v="6"/>
    <x v="10"/>
    <n v="813"/>
    <n v="601"/>
    <n v="1318"/>
    <n v="6028"/>
    <n v="8760"/>
    <x v="138"/>
    <x v="152"/>
    <x v="8"/>
    <s v="Card"/>
    <s v="Discharged"/>
    <n v="573"/>
    <s v="+91-6074159865"/>
  </r>
  <r>
    <x v="688"/>
    <x v="249"/>
    <n v="60"/>
    <x v="0"/>
    <s v="O-"/>
    <x v="1"/>
    <x v="5"/>
    <x v="15"/>
    <n v="1439"/>
    <n v="2284"/>
    <n v="3647"/>
    <n v="1959"/>
    <n v="9329"/>
    <x v="318"/>
    <x v="214"/>
    <x v="2"/>
    <s v="Insurance"/>
    <s v="Admitted"/>
    <n v="364"/>
    <s v="+91-9289845437"/>
  </r>
  <r>
    <x v="689"/>
    <x v="332"/>
    <n v="64"/>
    <x v="0"/>
    <s v="AB-"/>
    <x v="0"/>
    <x v="2"/>
    <x v="7"/>
    <n v="600"/>
    <n v="906"/>
    <n v="2206"/>
    <n v="2875"/>
    <n v="6587"/>
    <x v="72"/>
    <x v="102"/>
    <x v="9"/>
    <s v="UPI"/>
    <s v="Admitted"/>
    <n v="666"/>
    <s v="+91-9081027848"/>
  </r>
  <r>
    <x v="690"/>
    <x v="144"/>
    <n v="34"/>
    <x v="1"/>
    <s v="AB-"/>
    <x v="2"/>
    <x v="5"/>
    <x v="2"/>
    <n v="1406"/>
    <n v="866"/>
    <n v="5219"/>
    <n v="4845"/>
    <n v="12336"/>
    <x v="293"/>
    <x v="24"/>
    <x v="5"/>
    <s v="Cash"/>
    <s v="Admitted"/>
    <n v="308"/>
    <s v="+91-7399253304"/>
  </r>
  <r>
    <x v="691"/>
    <x v="90"/>
    <n v="54"/>
    <x v="0"/>
    <s v="O-"/>
    <x v="5"/>
    <x v="4"/>
    <x v="9"/>
    <n v="593"/>
    <n v="702"/>
    <n v="2975"/>
    <n v="10944"/>
    <n v="15214"/>
    <x v="270"/>
    <x v="140"/>
    <x v="1"/>
    <s v="UPI"/>
    <s v="Under Treatment"/>
    <n v="131"/>
    <s v="+91-6688538322"/>
  </r>
  <r>
    <x v="692"/>
    <x v="295"/>
    <n v="38"/>
    <x v="0"/>
    <s v="B-"/>
    <x v="2"/>
    <x v="4"/>
    <x v="11"/>
    <n v="733"/>
    <n v="3064"/>
    <n v="4484"/>
    <n v="12727"/>
    <n v="21008"/>
    <x v="319"/>
    <x v="227"/>
    <x v="8"/>
    <s v="Cash"/>
    <s v="Under Treatment"/>
    <n v="843"/>
    <s v="+91-6644565869"/>
  </r>
  <r>
    <x v="693"/>
    <x v="333"/>
    <n v="10"/>
    <x v="0"/>
    <s v="AB-"/>
    <x v="5"/>
    <x v="1"/>
    <x v="11"/>
    <n v="1380"/>
    <n v="921"/>
    <n v="5273"/>
    <n v="8738"/>
    <n v="16312"/>
    <x v="289"/>
    <x v="231"/>
    <x v="3"/>
    <s v="UPI"/>
    <s v="Admitted"/>
    <n v="956"/>
    <s v="+91-8470653046"/>
  </r>
  <r>
    <x v="694"/>
    <x v="9"/>
    <n v="43"/>
    <x v="0"/>
    <s v="AB+"/>
    <x v="1"/>
    <x v="1"/>
    <x v="3"/>
    <n v="1233"/>
    <n v="3078"/>
    <n v="6429"/>
    <n v="2890"/>
    <n v="13630"/>
    <x v="39"/>
    <x v="248"/>
    <x v="4"/>
    <s v="Cash"/>
    <s v="Discharged"/>
    <n v="673"/>
    <s v="+91-8171722069"/>
  </r>
  <r>
    <x v="695"/>
    <x v="172"/>
    <n v="84"/>
    <x v="1"/>
    <s v="AB+"/>
    <x v="0"/>
    <x v="3"/>
    <x v="1"/>
    <n v="1157"/>
    <n v="2382"/>
    <n v="4964"/>
    <n v="14563"/>
    <n v="23066"/>
    <x v="9"/>
    <x v="251"/>
    <x v="7"/>
    <s v="Card"/>
    <s v="Under Treatment"/>
    <n v="366"/>
    <s v="+91-9418175282"/>
  </r>
  <r>
    <x v="696"/>
    <x v="155"/>
    <n v="41"/>
    <x v="0"/>
    <s v="B+"/>
    <x v="4"/>
    <x v="4"/>
    <x v="14"/>
    <n v="1162"/>
    <n v="4637"/>
    <n v="1515"/>
    <n v="10437"/>
    <n v="17751"/>
    <x v="253"/>
    <x v="199"/>
    <x v="7"/>
    <s v="Cash"/>
    <s v="Admitted"/>
    <n v="223"/>
    <s v="+91-7797983271"/>
  </r>
  <r>
    <x v="697"/>
    <x v="334"/>
    <n v="61"/>
    <x v="0"/>
    <s v="AB+"/>
    <x v="3"/>
    <x v="4"/>
    <x v="12"/>
    <n v="1183"/>
    <n v="696"/>
    <n v="5952"/>
    <n v="3735"/>
    <n v="11566"/>
    <x v="17"/>
    <x v="184"/>
    <x v="3"/>
    <s v="UPI"/>
    <s v="Admitted"/>
    <n v="511"/>
    <s v="+91-8993285955"/>
  </r>
  <r>
    <x v="698"/>
    <x v="245"/>
    <n v="38"/>
    <x v="0"/>
    <s v="AB-"/>
    <x v="1"/>
    <x v="3"/>
    <x v="13"/>
    <n v="520"/>
    <n v="870"/>
    <n v="904"/>
    <n v="13103"/>
    <n v="15397"/>
    <x v="192"/>
    <x v="169"/>
    <x v="1"/>
    <s v="Insurance"/>
    <s v="Discharged"/>
    <n v="875"/>
    <s v="+91-8049154876"/>
  </r>
  <r>
    <x v="699"/>
    <x v="335"/>
    <n v="76"/>
    <x v="0"/>
    <s v="O+"/>
    <x v="3"/>
    <x v="6"/>
    <x v="5"/>
    <n v="1057"/>
    <n v="4215"/>
    <n v="3407"/>
    <n v="6250"/>
    <n v="14929"/>
    <x v="188"/>
    <x v="250"/>
    <x v="3"/>
    <s v="Cash"/>
    <s v="Admitted"/>
    <n v="404"/>
    <s v="+91-8118679324"/>
  </r>
  <r>
    <x v="700"/>
    <x v="217"/>
    <n v="73"/>
    <x v="1"/>
    <s v="AB+"/>
    <x v="6"/>
    <x v="2"/>
    <x v="13"/>
    <n v="1086"/>
    <n v="3109"/>
    <n v="6503"/>
    <n v="3923"/>
    <n v="14621"/>
    <x v="54"/>
    <x v="75"/>
    <x v="7"/>
    <s v="UPI"/>
    <s v="Under Treatment"/>
    <n v="730"/>
    <s v="+91-7350197673"/>
  </r>
  <r>
    <x v="701"/>
    <x v="132"/>
    <n v="37"/>
    <x v="0"/>
    <s v="A-"/>
    <x v="4"/>
    <x v="0"/>
    <x v="9"/>
    <n v="860"/>
    <n v="4486"/>
    <n v="3895"/>
    <n v="4664"/>
    <n v="13905"/>
    <x v="165"/>
    <x v="129"/>
    <x v="2"/>
    <s v="UPI"/>
    <s v="Admitted"/>
    <n v="198"/>
    <s v="+91-6888384398"/>
  </r>
  <r>
    <x v="702"/>
    <x v="103"/>
    <n v="22"/>
    <x v="0"/>
    <s v="O+"/>
    <x v="2"/>
    <x v="2"/>
    <x v="4"/>
    <n v="313"/>
    <n v="4500"/>
    <n v="7119"/>
    <n v="14474"/>
    <n v="26406"/>
    <x v="122"/>
    <x v="68"/>
    <x v="7"/>
    <s v="Insurance"/>
    <s v="Under Treatment"/>
    <n v="555"/>
    <s v="+91-8237222263"/>
  </r>
  <r>
    <x v="703"/>
    <x v="113"/>
    <n v="38"/>
    <x v="0"/>
    <s v="O-"/>
    <x v="4"/>
    <x v="6"/>
    <x v="1"/>
    <n v="1185"/>
    <n v="4540"/>
    <n v="2454"/>
    <n v="2423"/>
    <n v="10602"/>
    <x v="136"/>
    <x v="308"/>
    <x v="5"/>
    <s v="Cash"/>
    <s v="Under Treatment"/>
    <n v="912"/>
    <s v="+91-6955380139"/>
  </r>
  <r>
    <x v="704"/>
    <x v="46"/>
    <n v="21"/>
    <x v="1"/>
    <s v="A-"/>
    <x v="6"/>
    <x v="3"/>
    <x v="1"/>
    <n v="1350"/>
    <n v="1106"/>
    <n v="6090"/>
    <n v="12271"/>
    <n v="20817"/>
    <x v="40"/>
    <x v="102"/>
    <x v="1"/>
    <s v="UPI"/>
    <s v="Admitted"/>
    <n v="961"/>
    <s v="+91-8397323135"/>
  </r>
  <r>
    <x v="705"/>
    <x v="329"/>
    <n v="32"/>
    <x v="0"/>
    <s v="O+"/>
    <x v="5"/>
    <x v="0"/>
    <x v="3"/>
    <n v="700"/>
    <n v="2673"/>
    <n v="4151"/>
    <n v="3481"/>
    <n v="11005"/>
    <x v="11"/>
    <x v="226"/>
    <x v="4"/>
    <s v="Card"/>
    <s v="Under Treatment"/>
    <n v="996"/>
    <s v="+91-6381013882"/>
  </r>
  <r>
    <x v="706"/>
    <x v="263"/>
    <n v="1"/>
    <x v="1"/>
    <s v="AB+"/>
    <x v="4"/>
    <x v="3"/>
    <x v="15"/>
    <n v="1442"/>
    <n v="2208"/>
    <n v="6116"/>
    <n v="3918"/>
    <n v="13684"/>
    <x v="23"/>
    <x v="309"/>
    <x v="2"/>
    <s v="Card"/>
    <s v="Under Treatment"/>
    <n v="457"/>
    <s v="+91-8079765165"/>
  </r>
  <r>
    <x v="707"/>
    <x v="336"/>
    <n v="39"/>
    <x v="0"/>
    <s v="A-"/>
    <x v="6"/>
    <x v="0"/>
    <x v="15"/>
    <n v="1303"/>
    <n v="3712"/>
    <n v="5197"/>
    <n v="6851"/>
    <n v="17063"/>
    <x v="320"/>
    <x v="66"/>
    <x v="2"/>
    <s v="Cash"/>
    <s v="Discharged"/>
    <n v="529"/>
    <s v="+91-7920593054"/>
  </r>
  <r>
    <x v="708"/>
    <x v="17"/>
    <n v="85"/>
    <x v="1"/>
    <s v="B+"/>
    <x v="4"/>
    <x v="6"/>
    <x v="7"/>
    <n v="1251"/>
    <n v="3112"/>
    <n v="5711"/>
    <n v="2860"/>
    <n v="12934"/>
    <x v="321"/>
    <x v="31"/>
    <x v="1"/>
    <s v="Insurance"/>
    <s v="Discharged"/>
    <n v="715"/>
    <s v="+91-7769539050"/>
  </r>
  <r>
    <x v="709"/>
    <x v="262"/>
    <n v="38"/>
    <x v="1"/>
    <s v="AB-"/>
    <x v="0"/>
    <x v="4"/>
    <x v="14"/>
    <n v="424"/>
    <n v="3147"/>
    <n v="2443"/>
    <n v="12059"/>
    <n v="18073"/>
    <x v="121"/>
    <x v="22"/>
    <x v="1"/>
    <s v="Insurance"/>
    <s v="Discharged"/>
    <n v="155"/>
    <s v="+91-7152413759"/>
  </r>
  <r>
    <x v="710"/>
    <x v="22"/>
    <n v="44"/>
    <x v="0"/>
    <s v="O-"/>
    <x v="6"/>
    <x v="0"/>
    <x v="1"/>
    <n v="1139"/>
    <n v="2312"/>
    <n v="4989"/>
    <n v="3728"/>
    <n v="12168"/>
    <x v="2"/>
    <x v="131"/>
    <x v="5"/>
    <s v="Cash"/>
    <s v="Under Treatment"/>
    <n v="121"/>
    <s v="+91-9446337072"/>
  </r>
  <r>
    <x v="711"/>
    <x v="333"/>
    <n v="43"/>
    <x v="1"/>
    <s v="AB+"/>
    <x v="4"/>
    <x v="6"/>
    <x v="12"/>
    <n v="1362"/>
    <n v="2224"/>
    <n v="3266"/>
    <n v="9773"/>
    <n v="16625"/>
    <x v="98"/>
    <x v="144"/>
    <x v="3"/>
    <s v="Card"/>
    <s v="Discharged"/>
    <n v="920"/>
    <s v="+91-6693225639"/>
  </r>
  <r>
    <x v="712"/>
    <x v="50"/>
    <n v="53"/>
    <x v="0"/>
    <s v="AB-"/>
    <x v="0"/>
    <x v="5"/>
    <x v="5"/>
    <n v="373"/>
    <n v="664"/>
    <n v="6485"/>
    <n v="9627"/>
    <n v="17149"/>
    <x v="254"/>
    <x v="119"/>
    <x v="1"/>
    <s v="Card"/>
    <s v="Discharged"/>
    <n v="408"/>
    <s v="+91-6104128742"/>
  </r>
  <r>
    <x v="713"/>
    <x v="203"/>
    <n v="5"/>
    <x v="1"/>
    <s v="A-"/>
    <x v="4"/>
    <x v="2"/>
    <x v="8"/>
    <n v="1120"/>
    <n v="1574"/>
    <n v="7003"/>
    <n v="13132"/>
    <n v="22829"/>
    <x v="316"/>
    <x v="229"/>
    <x v="5"/>
    <s v="Insurance"/>
    <s v="Admitted"/>
    <n v="115"/>
    <s v="+91-9189665980"/>
  </r>
  <r>
    <x v="714"/>
    <x v="126"/>
    <n v="20"/>
    <x v="0"/>
    <s v="AB-"/>
    <x v="5"/>
    <x v="0"/>
    <x v="4"/>
    <n v="939"/>
    <n v="3151"/>
    <n v="3782"/>
    <n v="9394"/>
    <n v="17266"/>
    <x v="304"/>
    <x v="176"/>
    <x v="2"/>
    <s v="Cash"/>
    <s v="Discharged"/>
    <n v="771"/>
    <s v="+91-8474765235"/>
  </r>
  <r>
    <x v="715"/>
    <x v="337"/>
    <n v="38"/>
    <x v="1"/>
    <s v="B-"/>
    <x v="4"/>
    <x v="4"/>
    <x v="3"/>
    <n v="1132"/>
    <n v="2781"/>
    <n v="4259"/>
    <n v="5659"/>
    <n v="13831"/>
    <x v="178"/>
    <x v="218"/>
    <x v="3"/>
    <s v="Cash"/>
    <s v="Discharged"/>
    <n v="845"/>
    <s v="+91-7690693165"/>
  </r>
  <r>
    <x v="716"/>
    <x v="80"/>
    <n v="14"/>
    <x v="1"/>
    <s v="O+"/>
    <x v="0"/>
    <x v="1"/>
    <x v="5"/>
    <n v="1113"/>
    <n v="2401"/>
    <n v="3962"/>
    <n v="7059"/>
    <n v="14535"/>
    <x v="267"/>
    <x v="107"/>
    <x v="5"/>
    <s v="Card"/>
    <s v="Under Treatment"/>
    <n v="185"/>
    <s v="+91-6409692785"/>
  </r>
  <r>
    <x v="717"/>
    <x v="238"/>
    <n v="27"/>
    <x v="1"/>
    <s v="B-"/>
    <x v="0"/>
    <x v="5"/>
    <x v="6"/>
    <n v="589"/>
    <n v="3802"/>
    <n v="5350"/>
    <n v="14730"/>
    <n v="24471"/>
    <x v="230"/>
    <x v="200"/>
    <x v="6"/>
    <s v="Insurance"/>
    <s v="Discharged"/>
    <n v="521"/>
    <s v="+91-7337688858"/>
  </r>
  <r>
    <x v="718"/>
    <x v="269"/>
    <n v="5"/>
    <x v="1"/>
    <s v="O-"/>
    <x v="5"/>
    <x v="3"/>
    <x v="5"/>
    <n v="849"/>
    <n v="2213"/>
    <n v="6485"/>
    <n v="10214"/>
    <n v="19761"/>
    <x v="61"/>
    <x v="291"/>
    <x v="4"/>
    <s v="Card"/>
    <s v="Discharged"/>
    <n v="572"/>
    <s v="+91-9044565623"/>
  </r>
  <r>
    <x v="719"/>
    <x v="253"/>
    <n v="72"/>
    <x v="0"/>
    <s v="A-"/>
    <x v="4"/>
    <x v="0"/>
    <x v="14"/>
    <n v="458"/>
    <n v="3577"/>
    <n v="1342"/>
    <n v="13400"/>
    <n v="18777"/>
    <x v="232"/>
    <x v="81"/>
    <x v="3"/>
    <s v="Card"/>
    <s v="Discharged"/>
    <n v="990"/>
    <s v="+91-6488185700"/>
  </r>
  <r>
    <x v="720"/>
    <x v="44"/>
    <n v="64"/>
    <x v="0"/>
    <s v="O+"/>
    <x v="7"/>
    <x v="3"/>
    <x v="0"/>
    <n v="1420"/>
    <n v="3925"/>
    <n v="3571"/>
    <n v="1151"/>
    <n v="10067"/>
    <x v="286"/>
    <x v="109"/>
    <x v="1"/>
    <s v="UPI"/>
    <s v="Under Treatment"/>
    <n v="430"/>
    <s v="+91-8641836466"/>
  </r>
  <r>
    <x v="721"/>
    <x v="3"/>
    <n v="84"/>
    <x v="0"/>
    <s v="O+"/>
    <x v="3"/>
    <x v="4"/>
    <x v="9"/>
    <n v="1371"/>
    <n v="2174"/>
    <n v="6876"/>
    <n v="11059"/>
    <n v="21480"/>
    <x v="65"/>
    <x v="28"/>
    <x v="6"/>
    <s v="Insurance"/>
    <s v="Admitted"/>
    <n v="438"/>
    <s v="+91-9981776543"/>
  </r>
  <r>
    <x v="722"/>
    <x v="335"/>
    <n v="68"/>
    <x v="1"/>
    <s v="B-"/>
    <x v="2"/>
    <x v="0"/>
    <x v="13"/>
    <n v="1152"/>
    <n v="1968"/>
    <n v="1531"/>
    <n v="8708"/>
    <n v="13359"/>
    <x v="322"/>
    <x v="289"/>
    <x v="2"/>
    <s v="Cash"/>
    <s v="Under Treatment"/>
    <n v="569"/>
    <s v="+91-7421785056"/>
  </r>
  <r>
    <x v="723"/>
    <x v="177"/>
    <n v="80"/>
    <x v="1"/>
    <s v="O+"/>
    <x v="3"/>
    <x v="6"/>
    <x v="6"/>
    <n v="1017"/>
    <n v="2351"/>
    <n v="3125"/>
    <n v="11302"/>
    <n v="17795"/>
    <x v="217"/>
    <x v="203"/>
    <x v="2"/>
    <s v="Insurance"/>
    <s v="Under Treatment"/>
    <n v="846"/>
    <s v="+91-7313187638"/>
  </r>
  <r>
    <x v="724"/>
    <x v="237"/>
    <n v="52"/>
    <x v="1"/>
    <s v="A-"/>
    <x v="0"/>
    <x v="0"/>
    <x v="6"/>
    <n v="612"/>
    <n v="1343"/>
    <n v="6285"/>
    <n v="4546"/>
    <n v="12786"/>
    <x v="193"/>
    <x v="118"/>
    <x v="2"/>
    <s v="Insurance"/>
    <s v="Discharged"/>
    <n v="689"/>
    <s v="+91-9315623169"/>
  </r>
  <r>
    <x v="725"/>
    <x v="188"/>
    <n v="36"/>
    <x v="1"/>
    <s v="B+"/>
    <x v="0"/>
    <x v="4"/>
    <x v="7"/>
    <n v="305"/>
    <n v="2399"/>
    <n v="2073"/>
    <n v="2496"/>
    <n v="7273"/>
    <x v="177"/>
    <x v="242"/>
    <x v="9"/>
    <s v="Cash"/>
    <s v="Discharged"/>
    <n v="179"/>
    <s v="+91-9848090287"/>
  </r>
  <r>
    <x v="726"/>
    <x v="258"/>
    <n v="66"/>
    <x v="1"/>
    <s v="AB+"/>
    <x v="5"/>
    <x v="4"/>
    <x v="15"/>
    <n v="969"/>
    <n v="2978"/>
    <n v="4399"/>
    <n v="13451"/>
    <n v="21797"/>
    <x v="107"/>
    <x v="248"/>
    <x v="3"/>
    <s v="Insurance"/>
    <s v="Under Treatment"/>
    <n v="585"/>
    <s v="+91-7524677466"/>
  </r>
  <r>
    <x v="727"/>
    <x v="338"/>
    <n v="41"/>
    <x v="0"/>
    <s v="O+"/>
    <x v="0"/>
    <x v="3"/>
    <x v="7"/>
    <n v="868"/>
    <n v="1670"/>
    <n v="7180"/>
    <n v="8163"/>
    <n v="17881"/>
    <x v="323"/>
    <x v="261"/>
    <x v="4"/>
    <s v="Cash"/>
    <s v="Under Treatment"/>
    <n v="545"/>
    <s v="+91-8800714355"/>
  </r>
  <r>
    <x v="728"/>
    <x v="256"/>
    <n v="4"/>
    <x v="1"/>
    <s v="B+"/>
    <x v="7"/>
    <x v="3"/>
    <x v="2"/>
    <n v="1168"/>
    <n v="2251"/>
    <n v="5354"/>
    <n v="10171"/>
    <n v="18944"/>
    <x v="298"/>
    <x v="136"/>
    <x v="8"/>
    <s v="Cash"/>
    <s v="Admitted"/>
    <n v="552"/>
    <s v="+91-7550446153"/>
  </r>
  <r>
    <x v="729"/>
    <x v="263"/>
    <n v="1"/>
    <x v="1"/>
    <s v="O+"/>
    <x v="1"/>
    <x v="3"/>
    <x v="11"/>
    <n v="1055"/>
    <n v="2578"/>
    <n v="4418"/>
    <n v="1212"/>
    <n v="9263"/>
    <x v="108"/>
    <x v="310"/>
    <x v="0"/>
    <s v="Insurance"/>
    <s v="Discharged"/>
    <n v="144"/>
    <s v="+91-8987145791"/>
  </r>
  <r>
    <x v="730"/>
    <x v="332"/>
    <n v="81"/>
    <x v="0"/>
    <s v="A+"/>
    <x v="2"/>
    <x v="1"/>
    <x v="15"/>
    <n v="1230"/>
    <n v="4516"/>
    <n v="1723"/>
    <n v="8756"/>
    <n v="16225"/>
    <x v="324"/>
    <x v="291"/>
    <x v="5"/>
    <s v="Cash"/>
    <s v="Under Treatment"/>
    <n v="830"/>
    <s v="+91-6657953558"/>
  </r>
  <r>
    <x v="731"/>
    <x v="339"/>
    <n v="11"/>
    <x v="1"/>
    <s v="A+"/>
    <x v="4"/>
    <x v="1"/>
    <x v="12"/>
    <n v="1208"/>
    <n v="1010"/>
    <n v="2874"/>
    <n v="2597"/>
    <n v="7689"/>
    <x v="320"/>
    <x v="308"/>
    <x v="7"/>
    <s v="UPI"/>
    <s v="Under Treatment"/>
    <n v="273"/>
    <s v="+91-9890058149"/>
  </r>
  <r>
    <x v="732"/>
    <x v="90"/>
    <n v="67"/>
    <x v="0"/>
    <s v="A-"/>
    <x v="5"/>
    <x v="0"/>
    <x v="14"/>
    <n v="425"/>
    <n v="1032"/>
    <n v="1880"/>
    <n v="14517"/>
    <n v="17854"/>
    <x v="243"/>
    <x v="242"/>
    <x v="2"/>
    <s v="Insurance"/>
    <s v="Admitted"/>
    <n v="382"/>
    <s v="+91-8613612286"/>
  </r>
  <r>
    <x v="733"/>
    <x v="246"/>
    <n v="53"/>
    <x v="0"/>
    <s v="AB-"/>
    <x v="2"/>
    <x v="5"/>
    <x v="9"/>
    <n v="860"/>
    <n v="3372"/>
    <n v="1264"/>
    <n v="6594"/>
    <n v="12090"/>
    <x v="95"/>
    <x v="244"/>
    <x v="5"/>
    <s v="Cash"/>
    <s v="Admitted"/>
    <n v="286"/>
    <s v="+91-9133395031"/>
  </r>
  <r>
    <x v="734"/>
    <x v="213"/>
    <n v="41"/>
    <x v="0"/>
    <s v="B+"/>
    <x v="3"/>
    <x v="1"/>
    <x v="5"/>
    <n v="745"/>
    <n v="3568"/>
    <n v="4071"/>
    <n v="2331"/>
    <n v="10715"/>
    <x v="311"/>
    <x v="270"/>
    <x v="7"/>
    <s v="Cash"/>
    <s v="Discharged"/>
    <n v="822"/>
    <s v="+91-7232984424"/>
  </r>
  <r>
    <x v="735"/>
    <x v="151"/>
    <n v="18"/>
    <x v="1"/>
    <s v="AB-"/>
    <x v="5"/>
    <x v="1"/>
    <x v="3"/>
    <n v="685"/>
    <n v="2734"/>
    <n v="7538"/>
    <n v="4264"/>
    <n v="15221"/>
    <x v="259"/>
    <x v="58"/>
    <x v="2"/>
    <s v="Cash"/>
    <s v="Discharged"/>
    <n v="463"/>
    <s v="+91-8485481104"/>
  </r>
  <r>
    <x v="736"/>
    <x v="340"/>
    <n v="83"/>
    <x v="1"/>
    <s v="O-"/>
    <x v="3"/>
    <x v="3"/>
    <x v="12"/>
    <n v="1498"/>
    <n v="3659"/>
    <n v="1575"/>
    <n v="9813"/>
    <n v="16545"/>
    <x v="138"/>
    <x v="311"/>
    <x v="1"/>
    <s v="UPI"/>
    <s v="Admitted"/>
    <n v="450"/>
    <s v="+91-9004990281"/>
  </r>
  <r>
    <x v="737"/>
    <x v="341"/>
    <n v="35"/>
    <x v="0"/>
    <s v="AB-"/>
    <x v="0"/>
    <x v="0"/>
    <x v="10"/>
    <n v="746"/>
    <n v="4331"/>
    <n v="2436"/>
    <n v="1515"/>
    <n v="9028"/>
    <x v="60"/>
    <x v="312"/>
    <x v="9"/>
    <s v="Insurance"/>
    <s v="Under Treatment"/>
    <n v="430"/>
    <s v="+91-7598942237"/>
  </r>
  <r>
    <x v="738"/>
    <x v="239"/>
    <n v="85"/>
    <x v="0"/>
    <s v="A-"/>
    <x v="1"/>
    <x v="0"/>
    <x v="11"/>
    <n v="1034"/>
    <n v="564"/>
    <n v="1600"/>
    <n v="7904"/>
    <n v="11102"/>
    <x v="28"/>
    <x v="140"/>
    <x v="8"/>
    <s v="UPI"/>
    <s v="Discharged"/>
    <n v="266"/>
    <s v="+91-8005067839"/>
  </r>
  <r>
    <x v="739"/>
    <x v="238"/>
    <n v="3"/>
    <x v="1"/>
    <s v="O-"/>
    <x v="7"/>
    <x v="4"/>
    <x v="14"/>
    <n v="1117"/>
    <n v="4379"/>
    <n v="7132"/>
    <n v="4990"/>
    <n v="17618"/>
    <x v="309"/>
    <x v="105"/>
    <x v="6"/>
    <s v="Insurance"/>
    <s v="Discharged"/>
    <n v="141"/>
    <s v="+91-9989979648"/>
  </r>
  <r>
    <x v="740"/>
    <x v="320"/>
    <n v="14"/>
    <x v="1"/>
    <s v="O+"/>
    <x v="5"/>
    <x v="2"/>
    <x v="10"/>
    <n v="1482"/>
    <n v="3782"/>
    <n v="5158"/>
    <n v="1467"/>
    <n v="11889"/>
    <x v="325"/>
    <x v="69"/>
    <x v="9"/>
    <s v="Card"/>
    <s v="Under Treatment"/>
    <n v="869"/>
    <s v="+91-6599359286"/>
  </r>
  <r>
    <x v="741"/>
    <x v="154"/>
    <n v="7"/>
    <x v="0"/>
    <s v="B-"/>
    <x v="6"/>
    <x v="0"/>
    <x v="0"/>
    <n v="1008"/>
    <n v="4257"/>
    <n v="3543"/>
    <n v="3708"/>
    <n v="12516"/>
    <x v="70"/>
    <x v="185"/>
    <x v="9"/>
    <s v="UPI"/>
    <s v="Discharged"/>
    <n v="182"/>
    <s v="+91-6792823740"/>
  </r>
  <r>
    <x v="742"/>
    <x v="342"/>
    <n v="56"/>
    <x v="0"/>
    <s v="AB-"/>
    <x v="0"/>
    <x v="2"/>
    <x v="0"/>
    <n v="1437"/>
    <n v="3565"/>
    <n v="340"/>
    <n v="8820"/>
    <n v="14162"/>
    <x v="1"/>
    <x v="188"/>
    <x v="5"/>
    <s v="Insurance"/>
    <s v="Under Treatment"/>
    <n v="317"/>
    <s v="+91-9920588072"/>
  </r>
  <r>
    <x v="743"/>
    <x v="337"/>
    <n v="60"/>
    <x v="0"/>
    <s v="AB+"/>
    <x v="4"/>
    <x v="2"/>
    <x v="8"/>
    <n v="563"/>
    <n v="3107"/>
    <n v="6550"/>
    <n v="3187"/>
    <n v="13407"/>
    <x v="189"/>
    <x v="282"/>
    <x v="2"/>
    <s v="Insurance"/>
    <s v="Under Treatment"/>
    <n v="173"/>
    <s v="+91-7489783227"/>
  </r>
  <r>
    <x v="744"/>
    <x v="164"/>
    <n v="4"/>
    <x v="0"/>
    <s v="AB+"/>
    <x v="3"/>
    <x v="5"/>
    <x v="3"/>
    <n v="1055"/>
    <n v="3467"/>
    <n v="3084"/>
    <n v="9215"/>
    <n v="16821"/>
    <x v="196"/>
    <x v="76"/>
    <x v="6"/>
    <s v="Card"/>
    <s v="Admitted"/>
    <n v="611"/>
    <s v="+91-6807327369"/>
  </r>
  <r>
    <x v="745"/>
    <x v="85"/>
    <n v="39"/>
    <x v="1"/>
    <s v="AB-"/>
    <x v="4"/>
    <x v="5"/>
    <x v="13"/>
    <n v="1086"/>
    <n v="1973"/>
    <n v="3787"/>
    <n v="3469"/>
    <n v="10315"/>
    <x v="248"/>
    <x v="313"/>
    <x v="1"/>
    <s v="UPI"/>
    <s v="Discharged"/>
    <n v="283"/>
    <s v="+91-6702411305"/>
  </r>
  <r>
    <x v="746"/>
    <x v="73"/>
    <n v="14"/>
    <x v="1"/>
    <s v="B+"/>
    <x v="4"/>
    <x v="2"/>
    <x v="2"/>
    <n v="507"/>
    <n v="3813"/>
    <n v="6882"/>
    <n v="14220"/>
    <n v="25422"/>
    <x v="232"/>
    <x v="81"/>
    <x v="8"/>
    <s v="Insurance"/>
    <s v="Under Treatment"/>
    <n v="565"/>
    <s v="+91-6049772921"/>
  </r>
  <r>
    <x v="747"/>
    <x v="337"/>
    <n v="55"/>
    <x v="0"/>
    <s v="AB-"/>
    <x v="6"/>
    <x v="3"/>
    <x v="14"/>
    <n v="829"/>
    <n v="1449"/>
    <n v="5244"/>
    <n v="14223"/>
    <n v="21745"/>
    <x v="326"/>
    <x v="116"/>
    <x v="8"/>
    <s v="UPI"/>
    <s v="Under Treatment"/>
    <n v="473"/>
    <s v="+91-6479628187"/>
  </r>
  <r>
    <x v="748"/>
    <x v="279"/>
    <n v="69"/>
    <x v="1"/>
    <s v="AB-"/>
    <x v="4"/>
    <x v="4"/>
    <x v="0"/>
    <n v="314"/>
    <n v="3261"/>
    <n v="7952"/>
    <n v="12592"/>
    <n v="24119"/>
    <x v="242"/>
    <x v="314"/>
    <x v="7"/>
    <s v="Cash"/>
    <s v="Discharged"/>
    <n v="388"/>
    <s v="+91-6171130607"/>
  </r>
  <r>
    <x v="749"/>
    <x v="308"/>
    <n v="59"/>
    <x v="1"/>
    <s v="O+"/>
    <x v="2"/>
    <x v="0"/>
    <x v="2"/>
    <n v="816"/>
    <n v="3987"/>
    <n v="3064"/>
    <n v="12059"/>
    <n v="19926"/>
    <x v="286"/>
    <x v="283"/>
    <x v="3"/>
    <s v="UPI"/>
    <s v="Discharged"/>
    <n v="527"/>
    <s v="+91-6075243493"/>
  </r>
  <r>
    <x v="750"/>
    <x v="259"/>
    <n v="39"/>
    <x v="0"/>
    <s v="A-"/>
    <x v="4"/>
    <x v="0"/>
    <x v="2"/>
    <n v="374"/>
    <n v="4852"/>
    <n v="6351"/>
    <n v="7491"/>
    <n v="19068"/>
    <x v="153"/>
    <x v="139"/>
    <x v="5"/>
    <s v="Card"/>
    <s v="Under Treatment"/>
    <n v="605"/>
    <s v="+91-7851562727"/>
  </r>
  <r>
    <x v="751"/>
    <x v="96"/>
    <n v="59"/>
    <x v="0"/>
    <s v="AB+"/>
    <x v="7"/>
    <x v="2"/>
    <x v="12"/>
    <n v="456"/>
    <n v="3175"/>
    <n v="3353"/>
    <n v="1627"/>
    <n v="8611"/>
    <x v="79"/>
    <x v="49"/>
    <x v="5"/>
    <s v="Cash"/>
    <s v="Discharged"/>
    <n v="752"/>
    <s v="+91-9218077253"/>
  </r>
  <r>
    <x v="752"/>
    <x v="168"/>
    <n v="52"/>
    <x v="0"/>
    <s v="O+"/>
    <x v="3"/>
    <x v="2"/>
    <x v="10"/>
    <n v="462"/>
    <n v="4050"/>
    <n v="1253"/>
    <n v="14003"/>
    <n v="19768"/>
    <x v="22"/>
    <x v="210"/>
    <x v="2"/>
    <s v="Card"/>
    <s v="Under Treatment"/>
    <n v="918"/>
    <s v="+91-6209728496"/>
  </r>
  <r>
    <x v="753"/>
    <x v="3"/>
    <n v="61"/>
    <x v="0"/>
    <s v="B+"/>
    <x v="5"/>
    <x v="3"/>
    <x v="10"/>
    <n v="680"/>
    <n v="2767"/>
    <n v="4408"/>
    <n v="12000"/>
    <n v="19855"/>
    <x v="142"/>
    <x v="88"/>
    <x v="1"/>
    <s v="UPI"/>
    <s v="Discharged"/>
    <n v="105"/>
    <s v="+91-7748836777"/>
  </r>
  <r>
    <x v="754"/>
    <x v="170"/>
    <n v="54"/>
    <x v="0"/>
    <s v="B-"/>
    <x v="6"/>
    <x v="5"/>
    <x v="10"/>
    <n v="1247"/>
    <n v="3106"/>
    <n v="1095"/>
    <n v="4626"/>
    <n v="10074"/>
    <x v="227"/>
    <x v="280"/>
    <x v="8"/>
    <s v="UPI"/>
    <s v="Under Treatment"/>
    <n v="829"/>
    <s v="+91-8616992957"/>
  </r>
  <r>
    <x v="755"/>
    <x v="343"/>
    <n v="54"/>
    <x v="1"/>
    <s v="B+"/>
    <x v="5"/>
    <x v="4"/>
    <x v="15"/>
    <n v="1442"/>
    <n v="602"/>
    <n v="3109"/>
    <n v="6580"/>
    <n v="11733"/>
    <x v="80"/>
    <x v="99"/>
    <x v="4"/>
    <s v="Insurance"/>
    <s v="Admitted"/>
    <n v="645"/>
    <s v="+91-8996707622"/>
  </r>
  <r>
    <x v="756"/>
    <x v="225"/>
    <n v="33"/>
    <x v="1"/>
    <s v="O+"/>
    <x v="2"/>
    <x v="6"/>
    <x v="6"/>
    <n v="1296"/>
    <n v="3328"/>
    <n v="980"/>
    <n v="4400"/>
    <n v="10004"/>
    <x v="103"/>
    <x v="68"/>
    <x v="2"/>
    <s v="UPI"/>
    <s v="Discharged"/>
    <n v="790"/>
    <s v="+91-8007382296"/>
  </r>
  <r>
    <x v="757"/>
    <x v="64"/>
    <n v="80"/>
    <x v="0"/>
    <s v="AB+"/>
    <x v="1"/>
    <x v="2"/>
    <x v="14"/>
    <n v="1150"/>
    <n v="691"/>
    <n v="6455"/>
    <n v="5651"/>
    <n v="13947"/>
    <x v="145"/>
    <x v="207"/>
    <x v="7"/>
    <s v="Card"/>
    <s v="Discharged"/>
    <n v="721"/>
    <s v="+91-9649297119"/>
  </r>
  <r>
    <x v="758"/>
    <x v="290"/>
    <n v="51"/>
    <x v="0"/>
    <s v="O-"/>
    <x v="0"/>
    <x v="6"/>
    <x v="11"/>
    <n v="1468"/>
    <n v="2870"/>
    <n v="1763"/>
    <n v="3606"/>
    <n v="9707"/>
    <x v="246"/>
    <x v="13"/>
    <x v="1"/>
    <s v="Card"/>
    <s v="Discharged"/>
    <n v="713"/>
    <s v="+91-7197779286"/>
  </r>
  <r>
    <x v="759"/>
    <x v="38"/>
    <n v="81"/>
    <x v="0"/>
    <s v="B+"/>
    <x v="1"/>
    <x v="6"/>
    <x v="8"/>
    <n v="761"/>
    <n v="3809"/>
    <n v="4353"/>
    <n v="13399"/>
    <n v="22322"/>
    <x v="301"/>
    <x v="101"/>
    <x v="4"/>
    <s v="Card"/>
    <s v="Discharged"/>
    <n v="395"/>
    <s v="+91-6014333944"/>
  </r>
  <r>
    <x v="760"/>
    <x v="344"/>
    <n v="60"/>
    <x v="0"/>
    <s v="B-"/>
    <x v="4"/>
    <x v="0"/>
    <x v="8"/>
    <n v="1488"/>
    <n v="3925"/>
    <n v="3726"/>
    <n v="7722"/>
    <n v="16861"/>
    <x v="173"/>
    <x v="246"/>
    <x v="0"/>
    <s v="Cash"/>
    <s v="Under Treatment"/>
    <n v="684"/>
    <s v="+91-9144551686"/>
  </r>
  <r>
    <x v="761"/>
    <x v="321"/>
    <n v="42"/>
    <x v="0"/>
    <s v="B-"/>
    <x v="3"/>
    <x v="6"/>
    <x v="15"/>
    <n v="486"/>
    <n v="3533"/>
    <n v="486"/>
    <n v="13172"/>
    <n v="17677"/>
    <x v="162"/>
    <x v="18"/>
    <x v="1"/>
    <s v="Card"/>
    <s v="Discharged"/>
    <n v="477"/>
    <s v="+91-9105519507"/>
  </r>
  <r>
    <x v="762"/>
    <x v="14"/>
    <n v="61"/>
    <x v="0"/>
    <s v="AB-"/>
    <x v="1"/>
    <x v="0"/>
    <x v="0"/>
    <n v="900"/>
    <n v="1030"/>
    <n v="7627"/>
    <n v="1506"/>
    <n v="11063"/>
    <x v="132"/>
    <x v="46"/>
    <x v="4"/>
    <s v="Insurance"/>
    <s v="Admitted"/>
    <n v="915"/>
    <s v="+91-6759684754"/>
  </r>
  <r>
    <x v="763"/>
    <x v="29"/>
    <n v="83"/>
    <x v="0"/>
    <s v="AB-"/>
    <x v="1"/>
    <x v="6"/>
    <x v="7"/>
    <n v="801"/>
    <n v="4286"/>
    <n v="6215"/>
    <n v="2144"/>
    <n v="13446"/>
    <x v="280"/>
    <x v="0"/>
    <x v="1"/>
    <s v="Insurance"/>
    <s v="Admitted"/>
    <n v="901"/>
    <s v="+91-7791386226"/>
  </r>
  <r>
    <x v="764"/>
    <x v="334"/>
    <n v="16"/>
    <x v="0"/>
    <s v="AB-"/>
    <x v="7"/>
    <x v="4"/>
    <x v="15"/>
    <n v="422"/>
    <n v="2899"/>
    <n v="6949"/>
    <n v="7527"/>
    <n v="17797"/>
    <x v="16"/>
    <x v="150"/>
    <x v="1"/>
    <s v="Cash"/>
    <s v="Admitted"/>
    <n v="249"/>
    <s v="+91-9638139608"/>
  </r>
  <r>
    <x v="765"/>
    <x v="216"/>
    <n v="15"/>
    <x v="0"/>
    <s v="A-"/>
    <x v="1"/>
    <x v="1"/>
    <x v="14"/>
    <n v="995"/>
    <n v="1662"/>
    <n v="7779"/>
    <n v="4982"/>
    <n v="15418"/>
    <x v="308"/>
    <x v="311"/>
    <x v="2"/>
    <s v="Cash"/>
    <s v="Discharged"/>
    <n v="826"/>
    <s v="+91-8111306841"/>
  </r>
  <r>
    <x v="766"/>
    <x v="30"/>
    <n v="44"/>
    <x v="1"/>
    <s v="B+"/>
    <x v="7"/>
    <x v="2"/>
    <x v="13"/>
    <n v="1222"/>
    <n v="2612"/>
    <n v="4954"/>
    <n v="5510"/>
    <n v="14298"/>
    <x v="221"/>
    <x v="315"/>
    <x v="9"/>
    <s v="UPI"/>
    <s v="Admitted"/>
    <n v="326"/>
    <s v="+91-9780303930"/>
  </r>
  <r>
    <x v="767"/>
    <x v="3"/>
    <n v="47"/>
    <x v="1"/>
    <s v="B+"/>
    <x v="6"/>
    <x v="3"/>
    <x v="7"/>
    <n v="1462"/>
    <n v="2996"/>
    <n v="4193"/>
    <n v="12683"/>
    <n v="21334"/>
    <x v="57"/>
    <x v="12"/>
    <x v="2"/>
    <s v="Card"/>
    <s v="Admitted"/>
    <n v="722"/>
    <s v="+91-7255560144"/>
  </r>
  <r>
    <x v="768"/>
    <x v="34"/>
    <n v="82"/>
    <x v="0"/>
    <s v="AB+"/>
    <x v="2"/>
    <x v="4"/>
    <x v="4"/>
    <n v="1494"/>
    <n v="2981"/>
    <n v="1515"/>
    <n v="10572"/>
    <n v="16562"/>
    <x v="232"/>
    <x v="314"/>
    <x v="8"/>
    <s v="Card"/>
    <s v="Discharged"/>
    <n v="759"/>
    <s v="+91-6669486010"/>
  </r>
  <r>
    <x v="769"/>
    <x v="39"/>
    <n v="41"/>
    <x v="1"/>
    <s v="A-"/>
    <x v="5"/>
    <x v="1"/>
    <x v="15"/>
    <n v="646"/>
    <n v="4802"/>
    <n v="4248"/>
    <n v="3873"/>
    <n v="13569"/>
    <x v="308"/>
    <x v="3"/>
    <x v="0"/>
    <s v="Card"/>
    <s v="Discharged"/>
    <n v="311"/>
    <s v="+91-6963404085"/>
  </r>
  <r>
    <x v="770"/>
    <x v="19"/>
    <n v="78"/>
    <x v="0"/>
    <s v="B-"/>
    <x v="0"/>
    <x v="1"/>
    <x v="2"/>
    <n v="1321"/>
    <n v="4262"/>
    <n v="4964"/>
    <n v="11463"/>
    <n v="22010"/>
    <x v="232"/>
    <x v="231"/>
    <x v="7"/>
    <s v="Cash"/>
    <s v="Discharged"/>
    <n v="741"/>
    <s v="+91-6424514631"/>
  </r>
  <r>
    <x v="771"/>
    <x v="184"/>
    <n v="9"/>
    <x v="1"/>
    <s v="B-"/>
    <x v="4"/>
    <x v="3"/>
    <x v="12"/>
    <n v="1214"/>
    <n v="4783"/>
    <n v="2331"/>
    <n v="5009"/>
    <n v="13337"/>
    <x v="34"/>
    <x v="316"/>
    <x v="7"/>
    <s v="Insurance"/>
    <s v="Admitted"/>
    <n v="141"/>
    <s v="+91-8616226535"/>
  </r>
  <r>
    <x v="772"/>
    <x v="334"/>
    <n v="36"/>
    <x v="0"/>
    <s v="AB-"/>
    <x v="0"/>
    <x v="4"/>
    <x v="6"/>
    <n v="571"/>
    <n v="4780"/>
    <n v="2780"/>
    <n v="1997"/>
    <n v="10128"/>
    <x v="200"/>
    <x v="317"/>
    <x v="7"/>
    <s v="Cash"/>
    <s v="Under Treatment"/>
    <n v="900"/>
    <s v="+91-6219398971"/>
  </r>
  <r>
    <x v="773"/>
    <x v="129"/>
    <n v="26"/>
    <x v="1"/>
    <s v="AB-"/>
    <x v="4"/>
    <x v="1"/>
    <x v="1"/>
    <n v="470"/>
    <n v="4399"/>
    <n v="1917"/>
    <n v="2636"/>
    <n v="9422"/>
    <x v="203"/>
    <x v="269"/>
    <x v="7"/>
    <s v="Cash"/>
    <s v="Under Treatment"/>
    <n v="540"/>
    <s v="+91-9698564284"/>
  </r>
  <r>
    <x v="774"/>
    <x v="207"/>
    <n v="83"/>
    <x v="0"/>
    <s v="O-"/>
    <x v="7"/>
    <x v="2"/>
    <x v="5"/>
    <n v="815"/>
    <n v="3835"/>
    <n v="5226"/>
    <n v="5435"/>
    <n v="15311"/>
    <x v="198"/>
    <x v="199"/>
    <x v="9"/>
    <s v="Insurance"/>
    <s v="Under Treatment"/>
    <n v="390"/>
    <s v="+91-8771454944"/>
  </r>
  <r>
    <x v="775"/>
    <x v="298"/>
    <n v="69"/>
    <x v="0"/>
    <s v="AB-"/>
    <x v="1"/>
    <x v="5"/>
    <x v="10"/>
    <n v="1449"/>
    <n v="4621"/>
    <n v="2829"/>
    <n v="11255"/>
    <n v="20154"/>
    <x v="57"/>
    <x v="213"/>
    <x v="9"/>
    <s v="UPI"/>
    <s v="Under Treatment"/>
    <n v="581"/>
    <s v="+91-8129392953"/>
  </r>
  <r>
    <x v="776"/>
    <x v="229"/>
    <n v="9"/>
    <x v="1"/>
    <s v="A-"/>
    <x v="6"/>
    <x v="6"/>
    <x v="11"/>
    <n v="1207"/>
    <n v="3305"/>
    <n v="5525"/>
    <n v="12255"/>
    <n v="22292"/>
    <x v="24"/>
    <x v="316"/>
    <x v="7"/>
    <s v="Card"/>
    <s v="Admitted"/>
    <n v="414"/>
    <s v="+91-8155127277"/>
  </r>
  <r>
    <x v="777"/>
    <x v="155"/>
    <n v="68"/>
    <x v="1"/>
    <s v="B+"/>
    <x v="4"/>
    <x v="2"/>
    <x v="9"/>
    <n v="730"/>
    <n v="1766"/>
    <n v="2952"/>
    <n v="3562"/>
    <n v="9010"/>
    <x v="22"/>
    <x v="5"/>
    <x v="9"/>
    <s v="Card"/>
    <s v="Discharged"/>
    <n v="628"/>
    <s v="+91-8034848987"/>
  </r>
  <r>
    <x v="778"/>
    <x v="241"/>
    <n v="35"/>
    <x v="0"/>
    <s v="AB-"/>
    <x v="6"/>
    <x v="1"/>
    <x v="15"/>
    <n v="921"/>
    <n v="3537"/>
    <n v="1487"/>
    <n v="6017"/>
    <n v="11962"/>
    <x v="21"/>
    <x v="318"/>
    <x v="8"/>
    <s v="Insurance"/>
    <s v="Under Treatment"/>
    <n v="502"/>
    <s v="+91-9275751159"/>
  </r>
  <r>
    <x v="779"/>
    <x v="321"/>
    <n v="52"/>
    <x v="0"/>
    <s v="B-"/>
    <x v="5"/>
    <x v="3"/>
    <x v="2"/>
    <n v="586"/>
    <n v="4242"/>
    <n v="6583"/>
    <n v="5492"/>
    <n v="16903"/>
    <x v="327"/>
    <x v="98"/>
    <x v="7"/>
    <s v="UPI"/>
    <s v="Discharged"/>
    <n v="952"/>
    <s v="+91-7604063728"/>
  </r>
  <r>
    <x v="780"/>
    <x v="345"/>
    <n v="55"/>
    <x v="1"/>
    <s v="B+"/>
    <x v="1"/>
    <x v="1"/>
    <x v="4"/>
    <n v="740"/>
    <n v="4620"/>
    <n v="3905"/>
    <n v="5488"/>
    <n v="14753"/>
    <x v="187"/>
    <x v="73"/>
    <x v="7"/>
    <s v="Insurance"/>
    <s v="Under Treatment"/>
    <n v="707"/>
    <s v="+91-8018083839"/>
  </r>
  <r>
    <x v="781"/>
    <x v="81"/>
    <n v="63"/>
    <x v="0"/>
    <s v="O-"/>
    <x v="6"/>
    <x v="4"/>
    <x v="8"/>
    <n v="421"/>
    <n v="1330"/>
    <n v="759"/>
    <n v="11479"/>
    <n v="13989"/>
    <x v="229"/>
    <x v="62"/>
    <x v="3"/>
    <s v="UPI"/>
    <s v="Admitted"/>
    <n v="583"/>
    <s v="+91-6576748520"/>
  </r>
  <r>
    <x v="782"/>
    <x v="46"/>
    <n v="53"/>
    <x v="0"/>
    <s v="O+"/>
    <x v="3"/>
    <x v="2"/>
    <x v="9"/>
    <n v="1475"/>
    <n v="2138"/>
    <n v="4902"/>
    <n v="2441"/>
    <n v="10956"/>
    <x v="188"/>
    <x v="297"/>
    <x v="8"/>
    <s v="UPI"/>
    <s v="Under Treatment"/>
    <n v="122"/>
    <s v="+91-6603303590"/>
  </r>
  <r>
    <x v="783"/>
    <x v="46"/>
    <n v="47"/>
    <x v="1"/>
    <s v="O+"/>
    <x v="0"/>
    <x v="1"/>
    <x v="7"/>
    <n v="957"/>
    <n v="4336"/>
    <n v="2165"/>
    <n v="8549"/>
    <n v="16007"/>
    <x v="296"/>
    <x v="319"/>
    <x v="7"/>
    <s v="Cash"/>
    <s v="Admitted"/>
    <n v="222"/>
    <s v="+91-8758400812"/>
  </r>
  <r>
    <x v="784"/>
    <x v="31"/>
    <n v="51"/>
    <x v="1"/>
    <s v="O-"/>
    <x v="2"/>
    <x v="6"/>
    <x v="12"/>
    <n v="1349"/>
    <n v="3559"/>
    <n v="432"/>
    <n v="10268"/>
    <n v="15608"/>
    <x v="85"/>
    <x v="0"/>
    <x v="3"/>
    <s v="Insurance"/>
    <s v="Discharged"/>
    <n v="688"/>
    <s v="+91-7433456380"/>
  </r>
  <r>
    <x v="785"/>
    <x v="186"/>
    <n v="73"/>
    <x v="0"/>
    <s v="A-"/>
    <x v="4"/>
    <x v="6"/>
    <x v="7"/>
    <n v="1351"/>
    <n v="1218"/>
    <n v="5001"/>
    <n v="8675"/>
    <n v="16245"/>
    <x v="314"/>
    <x v="33"/>
    <x v="7"/>
    <s v="Insurance"/>
    <s v="Discharged"/>
    <n v="576"/>
    <s v="+91-7938269696"/>
  </r>
  <r>
    <x v="786"/>
    <x v="154"/>
    <n v="10"/>
    <x v="0"/>
    <s v="A+"/>
    <x v="1"/>
    <x v="2"/>
    <x v="1"/>
    <n v="1380"/>
    <n v="4042"/>
    <n v="7585"/>
    <n v="1351"/>
    <n v="14358"/>
    <x v="246"/>
    <x v="83"/>
    <x v="2"/>
    <s v="Insurance"/>
    <s v="Admitted"/>
    <n v="108"/>
    <s v="+91-6967355230"/>
  </r>
  <r>
    <x v="787"/>
    <x v="346"/>
    <n v="20"/>
    <x v="1"/>
    <s v="B+"/>
    <x v="0"/>
    <x v="0"/>
    <x v="13"/>
    <n v="1390"/>
    <n v="4249"/>
    <n v="5654"/>
    <n v="11901"/>
    <n v="23194"/>
    <x v="328"/>
    <x v="83"/>
    <x v="8"/>
    <s v="Card"/>
    <s v="Admitted"/>
    <n v="415"/>
    <s v="+91-6779909040"/>
  </r>
  <r>
    <x v="788"/>
    <x v="0"/>
    <n v="69"/>
    <x v="0"/>
    <s v="B-"/>
    <x v="3"/>
    <x v="1"/>
    <x v="2"/>
    <n v="441"/>
    <n v="3182"/>
    <n v="7431"/>
    <n v="6166"/>
    <n v="17220"/>
    <x v="329"/>
    <x v="288"/>
    <x v="7"/>
    <s v="Card"/>
    <s v="Discharged"/>
    <n v="377"/>
    <s v="+91-7000636542"/>
  </r>
  <r>
    <x v="789"/>
    <x v="254"/>
    <n v="4"/>
    <x v="0"/>
    <s v="AB-"/>
    <x v="7"/>
    <x v="4"/>
    <x v="11"/>
    <n v="1068"/>
    <n v="708"/>
    <n v="3936"/>
    <n v="13188"/>
    <n v="18900"/>
    <x v="200"/>
    <x v="3"/>
    <x v="0"/>
    <s v="Insurance"/>
    <s v="Admitted"/>
    <n v="310"/>
    <s v="+91-9311349921"/>
  </r>
  <r>
    <x v="790"/>
    <x v="56"/>
    <n v="16"/>
    <x v="0"/>
    <s v="AB+"/>
    <x v="3"/>
    <x v="0"/>
    <x v="11"/>
    <n v="633"/>
    <n v="2217"/>
    <n v="1285"/>
    <n v="9013"/>
    <n v="13148"/>
    <x v="159"/>
    <x v="21"/>
    <x v="8"/>
    <s v="Card"/>
    <s v="Admitted"/>
    <n v="918"/>
    <s v="+91-8177162664"/>
  </r>
  <r>
    <x v="791"/>
    <x v="248"/>
    <n v="33"/>
    <x v="0"/>
    <s v="O-"/>
    <x v="7"/>
    <x v="1"/>
    <x v="5"/>
    <n v="314"/>
    <n v="3613"/>
    <n v="6881"/>
    <n v="7881"/>
    <n v="18689"/>
    <x v="189"/>
    <x v="208"/>
    <x v="8"/>
    <s v="Cash"/>
    <s v="Discharged"/>
    <n v="968"/>
    <s v="+91-8800326574"/>
  </r>
  <r>
    <x v="792"/>
    <x v="9"/>
    <n v="11"/>
    <x v="1"/>
    <s v="A+"/>
    <x v="7"/>
    <x v="0"/>
    <x v="5"/>
    <n v="862"/>
    <n v="3148"/>
    <n v="671"/>
    <n v="3305"/>
    <n v="7986"/>
    <x v="153"/>
    <x v="250"/>
    <x v="6"/>
    <s v="Card"/>
    <s v="Admitted"/>
    <n v="811"/>
    <s v="+91-8017830180"/>
  </r>
  <r>
    <x v="793"/>
    <x v="75"/>
    <n v="77"/>
    <x v="0"/>
    <s v="B+"/>
    <x v="6"/>
    <x v="1"/>
    <x v="2"/>
    <n v="1149"/>
    <n v="1790"/>
    <n v="3734"/>
    <n v="3824"/>
    <n v="10497"/>
    <x v="245"/>
    <x v="28"/>
    <x v="9"/>
    <s v="Cash"/>
    <s v="Admitted"/>
    <n v="130"/>
    <s v="+91-8136984143"/>
  </r>
  <r>
    <x v="794"/>
    <x v="10"/>
    <n v="52"/>
    <x v="1"/>
    <s v="AB+"/>
    <x v="6"/>
    <x v="5"/>
    <x v="13"/>
    <n v="358"/>
    <n v="711"/>
    <n v="3016"/>
    <n v="1466"/>
    <n v="5551"/>
    <x v="303"/>
    <x v="57"/>
    <x v="9"/>
    <s v="Insurance"/>
    <s v="Under Treatment"/>
    <n v="839"/>
    <s v="+91-8255736583"/>
  </r>
  <r>
    <x v="795"/>
    <x v="229"/>
    <n v="13"/>
    <x v="0"/>
    <s v="AB-"/>
    <x v="1"/>
    <x v="0"/>
    <x v="3"/>
    <n v="488"/>
    <n v="3939"/>
    <n v="843"/>
    <n v="2841"/>
    <n v="8111"/>
    <x v="28"/>
    <x v="37"/>
    <x v="1"/>
    <s v="Cash"/>
    <s v="Discharged"/>
    <n v="587"/>
    <s v="+91-8016431212"/>
  </r>
  <r>
    <x v="796"/>
    <x v="183"/>
    <n v="42"/>
    <x v="1"/>
    <s v="B-"/>
    <x v="4"/>
    <x v="3"/>
    <x v="15"/>
    <n v="1309"/>
    <n v="2107"/>
    <n v="1330"/>
    <n v="4593"/>
    <n v="9339"/>
    <x v="82"/>
    <x v="65"/>
    <x v="9"/>
    <s v="Cash"/>
    <s v="Under Treatment"/>
    <n v="197"/>
    <s v="+91-9080642880"/>
  </r>
  <r>
    <x v="797"/>
    <x v="283"/>
    <n v="79"/>
    <x v="0"/>
    <s v="O+"/>
    <x v="0"/>
    <x v="6"/>
    <x v="3"/>
    <n v="813"/>
    <n v="2012"/>
    <n v="6280"/>
    <n v="11803"/>
    <n v="20908"/>
    <x v="35"/>
    <x v="47"/>
    <x v="4"/>
    <s v="Card"/>
    <s v="Discharged"/>
    <n v="532"/>
    <s v="+91-7609627883"/>
  </r>
  <r>
    <x v="798"/>
    <x v="138"/>
    <n v="5"/>
    <x v="1"/>
    <s v="AB+"/>
    <x v="2"/>
    <x v="1"/>
    <x v="4"/>
    <n v="673"/>
    <n v="617"/>
    <n v="1471"/>
    <n v="11397"/>
    <n v="14158"/>
    <x v="284"/>
    <x v="143"/>
    <x v="9"/>
    <s v="Cash"/>
    <s v="Under Treatment"/>
    <n v="592"/>
    <s v="+91-8078097843"/>
  </r>
  <r>
    <x v="799"/>
    <x v="347"/>
    <n v="81"/>
    <x v="1"/>
    <s v="O-"/>
    <x v="7"/>
    <x v="1"/>
    <x v="4"/>
    <n v="1228"/>
    <n v="2652"/>
    <n v="4771"/>
    <n v="8206"/>
    <n v="16857"/>
    <x v="107"/>
    <x v="273"/>
    <x v="3"/>
    <s v="Card"/>
    <s v="Discharged"/>
    <n v="449"/>
    <s v="+91-9465989214"/>
  </r>
  <r>
    <x v="800"/>
    <x v="348"/>
    <n v="59"/>
    <x v="0"/>
    <s v="A-"/>
    <x v="1"/>
    <x v="0"/>
    <x v="10"/>
    <n v="429"/>
    <n v="3493"/>
    <n v="3794"/>
    <n v="11523"/>
    <n v="19239"/>
    <x v="122"/>
    <x v="302"/>
    <x v="9"/>
    <s v="Insurance"/>
    <s v="Admitted"/>
    <n v="223"/>
    <s v="+91-8364228175"/>
  </r>
  <r>
    <x v="801"/>
    <x v="156"/>
    <n v="45"/>
    <x v="1"/>
    <s v="B-"/>
    <x v="7"/>
    <x v="0"/>
    <x v="14"/>
    <n v="1433"/>
    <n v="1179"/>
    <n v="7402"/>
    <n v="9269"/>
    <n v="19283"/>
    <x v="287"/>
    <x v="193"/>
    <x v="3"/>
    <s v="Card"/>
    <s v="Admitted"/>
    <n v="303"/>
    <s v="+91-9149981933"/>
  </r>
  <r>
    <x v="802"/>
    <x v="65"/>
    <n v="77"/>
    <x v="0"/>
    <s v="A-"/>
    <x v="2"/>
    <x v="3"/>
    <x v="2"/>
    <n v="1404"/>
    <n v="2387"/>
    <n v="5982"/>
    <n v="9697"/>
    <n v="19470"/>
    <x v="206"/>
    <x v="105"/>
    <x v="9"/>
    <s v="Card"/>
    <s v="Under Treatment"/>
    <n v="749"/>
    <s v="+91-9689122697"/>
  </r>
  <r>
    <x v="803"/>
    <x v="153"/>
    <n v="20"/>
    <x v="1"/>
    <s v="AB-"/>
    <x v="0"/>
    <x v="1"/>
    <x v="10"/>
    <n v="400"/>
    <n v="3783"/>
    <n v="2728"/>
    <n v="7386"/>
    <n v="14297"/>
    <x v="75"/>
    <x v="25"/>
    <x v="4"/>
    <s v="Card"/>
    <s v="Under Treatment"/>
    <n v="407"/>
    <s v="+91-6001518755"/>
  </r>
  <r>
    <x v="804"/>
    <x v="173"/>
    <n v="72"/>
    <x v="1"/>
    <s v="AB+"/>
    <x v="0"/>
    <x v="6"/>
    <x v="6"/>
    <n v="421"/>
    <n v="3861"/>
    <n v="1449"/>
    <n v="3355"/>
    <n v="9086"/>
    <x v="58"/>
    <x v="81"/>
    <x v="7"/>
    <s v="Card"/>
    <s v="Under Treatment"/>
    <n v="529"/>
    <s v="+91-7679330782"/>
  </r>
  <r>
    <x v="805"/>
    <x v="63"/>
    <n v="32"/>
    <x v="1"/>
    <s v="B-"/>
    <x v="4"/>
    <x v="4"/>
    <x v="3"/>
    <n v="865"/>
    <n v="1650"/>
    <n v="7612"/>
    <n v="7577"/>
    <n v="17704"/>
    <x v="93"/>
    <x v="64"/>
    <x v="9"/>
    <s v="Card"/>
    <s v="Under Treatment"/>
    <n v="382"/>
    <s v="+91-9266685979"/>
  </r>
  <r>
    <x v="806"/>
    <x v="306"/>
    <n v="82"/>
    <x v="0"/>
    <s v="AB-"/>
    <x v="6"/>
    <x v="0"/>
    <x v="11"/>
    <n v="1264"/>
    <n v="2402"/>
    <n v="5710"/>
    <n v="8180"/>
    <n v="17556"/>
    <x v="180"/>
    <x v="2"/>
    <x v="3"/>
    <s v="Cash"/>
    <s v="Under Treatment"/>
    <n v="449"/>
    <s v="+91-9759107746"/>
  </r>
  <r>
    <x v="807"/>
    <x v="20"/>
    <n v="49"/>
    <x v="1"/>
    <s v="B-"/>
    <x v="4"/>
    <x v="2"/>
    <x v="1"/>
    <n v="1172"/>
    <n v="1879"/>
    <n v="7478"/>
    <n v="12628"/>
    <n v="23157"/>
    <x v="39"/>
    <x v="179"/>
    <x v="2"/>
    <s v="Cash"/>
    <s v="Admitted"/>
    <n v="849"/>
    <s v="+91-8591222771"/>
  </r>
  <r>
    <x v="808"/>
    <x v="330"/>
    <n v="31"/>
    <x v="1"/>
    <s v="O-"/>
    <x v="5"/>
    <x v="4"/>
    <x v="14"/>
    <n v="416"/>
    <n v="1361"/>
    <n v="7387"/>
    <n v="13614"/>
    <n v="22778"/>
    <x v="193"/>
    <x v="62"/>
    <x v="2"/>
    <s v="UPI"/>
    <s v="Discharged"/>
    <n v="185"/>
    <s v="+91-6055517225"/>
  </r>
  <r>
    <x v="809"/>
    <x v="308"/>
    <n v="32"/>
    <x v="1"/>
    <s v="AB+"/>
    <x v="0"/>
    <x v="2"/>
    <x v="14"/>
    <n v="844"/>
    <n v="1351"/>
    <n v="6697"/>
    <n v="14537"/>
    <n v="23429"/>
    <x v="262"/>
    <x v="179"/>
    <x v="3"/>
    <s v="Insurance"/>
    <s v="Admitted"/>
    <n v="716"/>
    <s v="+91-6462987491"/>
  </r>
  <r>
    <x v="810"/>
    <x v="135"/>
    <n v="74"/>
    <x v="0"/>
    <s v="AB-"/>
    <x v="4"/>
    <x v="2"/>
    <x v="3"/>
    <n v="1038"/>
    <n v="3955"/>
    <n v="6978"/>
    <n v="7451"/>
    <n v="19422"/>
    <x v="16"/>
    <x v="99"/>
    <x v="4"/>
    <s v="Cash"/>
    <s v="Discharged"/>
    <n v="932"/>
    <s v="+91-9458396111"/>
  </r>
  <r>
    <x v="811"/>
    <x v="321"/>
    <n v="28"/>
    <x v="0"/>
    <s v="O-"/>
    <x v="2"/>
    <x v="6"/>
    <x v="13"/>
    <n v="502"/>
    <n v="2894"/>
    <n v="7842"/>
    <n v="7752"/>
    <n v="18990"/>
    <x v="261"/>
    <x v="115"/>
    <x v="2"/>
    <s v="UPI"/>
    <s v="Discharged"/>
    <n v="354"/>
    <s v="+91-7188127446"/>
  </r>
  <r>
    <x v="812"/>
    <x v="47"/>
    <n v="42"/>
    <x v="1"/>
    <s v="AB-"/>
    <x v="6"/>
    <x v="6"/>
    <x v="7"/>
    <n v="728"/>
    <n v="4983"/>
    <n v="5610"/>
    <n v="6273"/>
    <n v="17594"/>
    <x v="246"/>
    <x v="173"/>
    <x v="9"/>
    <s v="Cash"/>
    <s v="Discharged"/>
    <n v="460"/>
    <s v="+91-8647429552"/>
  </r>
  <r>
    <x v="813"/>
    <x v="245"/>
    <n v="41"/>
    <x v="1"/>
    <s v="B-"/>
    <x v="4"/>
    <x v="1"/>
    <x v="6"/>
    <n v="1131"/>
    <n v="3063"/>
    <n v="5393"/>
    <n v="9146"/>
    <n v="18733"/>
    <x v="4"/>
    <x v="226"/>
    <x v="1"/>
    <s v="Insurance"/>
    <s v="Discharged"/>
    <n v="445"/>
    <s v="+91-9461303398"/>
  </r>
  <r>
    <x v="814"/>
    <x v="141"/>
    <n v="21"/>
    <x v="0"/>
    <s v="O+"/>
    <x v="1"/>
    <x v="6"/>
    <x v="5"/>
    <n v="528"/>
    <n v="2054"/>
    <n v="5066"/>
    <n v="6087"/>
    <n v="13735"/>
    <x v="83"/>
    <x v="320"/>
    <x v="3"/>
    <s v="Card"/>
    <s v="Discharged"/>
    <n v="733"/>
    <s v="+91-8987734263"/>
  </r>
  <r>
    <x v="815"/>
    <x v="189"/>
    <n v="12"/>
    <x v="0"/>
    <s v="A-"/>
    <x v="5"/>
    <x v="6"/>
    <x v="10"/>
    <n v="598"/>
    <n v="3286"/>
    <n v="4664"/>
    <n v="6796"/>
    <n v="15344"/>
    <x v="185"/>
    <x v="85"/>
    <x v="1"/>
    <s v="UPI"/>
    <s v="Under Treatment"/>
    <n v="683"/>
    <s v="+91-6353096152"/>
  </r>
  <r>
    <x v="816"/>
    <x v="17"/>
    <n v="57"/>
    <x v="0"/>
    <s v="B-"/>
    <x v="0"/>
    <x v="4"/>
    <x v="0"/>
    <n v="860"/>
    <n v="715"/>
    <n v="4350"/>
    <n v="4677"/>
    <n v="10602"/>
    <x v="143"/>
    <x v="149"/>
    <x v="7"/>
    <s v="Card"/>
    <s v="Admitted"/>
    <n v="112"/>
    <s v="+91-7274716830"/>
  </r>
  <r>
    <x v="817"/>
    <x v="262"/>
    <n v="79"/>
    <x v="1"/>
    <s v="AB+"/>
    <x v="7"/>
    <x v="3"/>
    <x v="14"/>
    <n v="1439"/>
    <n v="2074"/>
    <n v="3677"/>
    <n v="4048"/>
    <n v="11238"/>
    <x v="305"/>
    <x v="227"/>
    <x v="1"/>
    <s v="UPI"/>
    <s v="Under Treatment"/>
    <n v="915"/>
    <s v="+91-7563234619"/>
  </r>
  <r>
    <x v="818"/>
    <x v="165"/>
    <n v="48"/>
    <x v="1"/>
    <s v="B+"/>
    <x v="0"/>
    <x v="5"/>
    <x v="13"/>
    <n v="1406"/>
    <n v="3425"/>
    <n v="931"/>
    <n v="12357"/>
    <n v="18119"/>
    <x v="277"/>
    <x v="321"/>
    <x v="7"/>
    <s v="Insurance"/>
    <s v="Under Treatment"/>
    <n v="421"/>
    <s v="+91-6450145299"/>
  </r>
  <r>
    <x v="819"/>
    <x v="153"/>
    <n v="45"/>
    <x v="0"/>
    <s v="AB+"/>
    <x v="7"/>
    <x v="5"/>
    <x v="10"/>
    <n v="1476"/>
    <n v="935"/>
    <n v="4070"/>
    <n v="11138"/>
    <n v="17619"/>
    <x v="188"/>
    <x v="146"/>
    <x v="6"/>
    <s v="Card"/>
    <s v="Admitted"/>
    <n v="673"/>
    <s v="+91-7926156575"/>
  </r>
  <r>
    <x v="820"/>
    <x v="293"/>
    <n v="45"/>
    <x v="1"/>
    <s v="AB-"/>
    <x v="3"/>
    <x v="4"/>
    <x v="6"/>
    <n v="1025"/>
    <n v="1035"/>
    <n v="6188"/>
    <n v="5523"/>
    <n v="13771"/>
    <x v="138"/>
    <x v="42"/>
    <x v="0"/>
    <s v="Card"/>
    <s v="Discharged"/>
    <n v="320"/>
    <s v="+91-8842412897"/>
  </r>
  <r>
    <x v="821"/>
    <x v="55"/>
    <n v="69"/>
    <x v="1"/>
    <s v="O-"/>
    <x v="1"/>
    <x v="6"/>
    <x v="3"/>
    <n v="1467"/>
    <n v="4661"/>
    <n v="3635"/>
    <n v="3363"/>
    <n v="13126"/>
    <x v="8"/>
    <x v="158"/>
    <x v="6"/>
    <s v="Cash"/>
    <s v="Under Treatment"/>
    <n v="154"/>
    <s v="+91-9058505100"/>
  </r>
  <r>
    <x v="822"/>
    <x v="3"/>
    <n v="16"/>
    <x v="0"/>
    <s v="AB-"/>
    <x v="4"/>
    <x v="3"/>
    <x v="14"/>
    <n v="630"/>
    <n v="2094"/>
    <n v="2338"/>
    <n v="10855"/>
    <n v="15917"/>
    <x v="330"/>
    <x v="209"/>
    <x v="0"/>
    <s v="Cash"/>
    <s v="Discharged"/>
    <n v="191"/>
    <s v="+91-6404420250"/>
  </r>
  <r>
    <x v="823"/>
    <x v="56"/>
    <n v="50"/>
    <x v="1"/>
    <s v="AB+"/>
    <x v="5"/>
    <x v="1"/>
    <x v="15"/>
    <n v="583"/>
    <n v="3312"/>
    <n v="1799"/>
    <n v="2570"/>
    <n v="8264"/>
    <x v="331"/>
    <x v="318"/>
    <x v="9"/>
    <s v="Insurance"/>
    <s v="Admitted"/>
    <n v="288"/>
    <s v="+91-7118862897"/>
  </r>
  <r>
    <x v="824"/>
    <x v="297"/>
    <n v="30"/>
    <x v="1"/>
    <s v="A+"/>
    <x v="4"/>
    <x v="3"/>
    <x v="13"/>
    <n v="1225"/>
    <n v="1270"/>
    <n v="4591"/>
    <n v="5223"/>
    <n v="12309"/>
    <x v="244"/>
    <x v="43"/>
    <x v="0"/>
    <s v="UPI"/>
    <s v="Admitted"/>
    <n v="272"/>
    <s v="+91-6007425551"/>
  </r>
  <r>
    <x v="825"/>
    <x v="300"/>
    <n v="1"/>
    <x v="1"/>
    <s v="AB-"/>
    <x v="5"/>
    <x v="0"/>
    <x v="9"/>
    <n v="356"/>
    <n v="3570"/>
    <n v="7339"/>
    <n v="2136"/>
    <n v="13401"/>
    <x v="101"/>
    <x v="202"/>
    <x v="6"/>
    <s v="Card"/>
    <s v="Discharged"/>
    <n v="199"/>
    <s v="+91-9745628501"/>
  </r>
  <r>
    <x v="826"/>
    <x v="161"/>
    <n v="48"/>
    <x v="0"/>
    <s v="A+"/>
    <x v="7"/>
    <x v="2"/>
    <x v="7"/>
    <n v="1339"/>
    <n v="1719"/>
    <n v="6971"/>
    <n v="14418"/>
    <n v="24447"/>
    <x v="332"/>
    <x v="63"/>
    <x v="6"/>
    <s v="Cash"/>
    <s v="Discharged"/>
    <n v="398"/>
    <s v="+91-6462889778"/>
  </r>
  <r>
    <x v="827"/>
    <x v="256"/>
    <n v="76"/>
    <x v="0"/>
    <s v="AB+"/>
    <x v="4"/>
    <x v="6"/>
    <x v="15"/>
    <n v="695"/>
    <n v="1771"/>
    <n v="5323"/>
    <n v="6527"/>
    <n v="14316"/>
    <x v="62"/>
    <x v="216"/>
    <x v="3"/>
    <s v="Insurance"/>
    <s v="Admitted"/>
    <n v="784"/>
    <s v="+91-8381395514"/>
  </r>
  <r>
    <x v="828"/>
    <x v="46"/>
    <n v="32"/>
    <x v="1"/>
    <s v="AB-"/>
    <x v="3"/>
    <x v="6"/>
    <x v="3"/>
    <n v="1305"/>
    <n v="2042"/>
    <n v="6804"/>
    <n v="7623"/>
    <n v="17774"/>
    <x v="69"/>
    <x v="21"/>
    <x v="0"/>
    <s v="Cash"/>
    <s v="Under Treatment"/>
    <n v="193"/>
    <s v="+91-8849764904"/>
  </r>
  <r>
    <x v="829"/>
    <x v="184"/>
    <n v="73"/>
    <x v="1"/>
    <s v="AB+"/>
    <x v="0"/>
    <x v="4"/>
    <x v="9"/>
    <n v="956"/>
    <n v="1609"/>
    <n v="3969"/>
    <n v="13509"/>
    <n v="20043"/>
    <x v="98"/>
    <x v="124"/>
    <x v="1"/>
    <s v="Insurance"/>
    <s v="Admitted"/>
    <n v="602"/>
    <s v="+91-6102366896"/>
  </r>
  <r>
    <x v="830"/>
    <x v="162"/>
    <n v="42"/>
    <x v="1"/>
    <s v="A+"/>
    <x v="5"/>
    <x v="0"/>
    <x v="9"/>
    <n v="1319"/>
    <n v="2852"/>
    <n v="6614"/>
    <n v="12207"/>
    <n v="22992"/>
    <x v="150"/>
    <x v="322"/>
    <x v="3"/>
    <s v="Cash"/>
    <s v="Discharged"/>
    <n v="701"/>
    <s v="+91-9211997222"/>
  </r>
  <r>
    <x v="831"/>
    <x v="349"/>
    <n v="23"/>
    <x v="1"/>
    <s v="AB+"/>
    <x v="2"/>
    <x v="3"/>
    <x v="5"/>
    <n v="396"/>
    <n v="2981"/>
    <n v="3453"/>
    <n v="4084"/>
    <n v="10914"/>
    <x v="117"/>
    <x v="251"/>
    <x v="0"/>
    <s v="Card"/>
    <s v="Under Treatment"/>
    <n v="479"/>
    <s v="+91-8925445628"/>
  </r>
  <r>
    <x v="832"/>
    <x v="85"/>
    <n v="13"/>
    <x v="1"/>
    <s v="A+"/>
    <x v="3"/>
    <x v="5"/>
    <x v="3"/>
    <n v="955"/>
    <n v="1097"/>
    <n v="6149"/>
    <n v="4335"/>
    <n v="12536"/>
    <x v="253"/>
    <x v="131"/>
    <x v="6"/>
    <s v="Insurance"/>
    <s v="Admitted"/>
    <n v="805"/>
    <s v="+91-6499637931"/>
  </r>
  <r>
    <x v="833"/>
    <x v="234"/>
    <n v="31"/>
    <x v="1"/>
    <s v="B+"/>
    <x v="3"/>
    <x v="2"/>
    <x v="8"/>
    <n v="767"/>
    <n v="3545"/>
    <n v="7816"/>
    <n v="14726"/>
    <n v="26854"/>
    <x v="246"/>
    <x v="142"/>
    <x v="9"/>
    <s v="Card"/>
    <s v="Under Treatment"/>
    <n v="784"/>
    <s v="+91-7108897389"/>
  </r>
  <r>
    <x v="834"/>
    <x v="257"/>
    <n v="81"/>
    <x v="1"/>
    <s v="B-"/>
    <x v="0"/>
    <x v="6"/>
    <x v="10"/>
    <n v="1138"/>
    <n v="583"/>
    <n v="3706"/>
    <n v="14493"/>
    <n v="19920"/>
    <x v="215"/>
    <x v="323"/>
    <x v="2"/>
    <s v="Insurance"/>
    <s v="Discharged"/>
    <n v="714"/>
    <s v="+91-6044795237"/>
  </r>
  <r>
    <x v="835"/>
    <x v="281"/>
    <n v="58"/>
    <x v="0"/>
    <s v="O-"/>
    <x v="0"/>
    <x v="0"/>
    <x v="6"/>
    <n v="534"/>
    <n v="1444"/>
    <n v="1601"/>
    <n v="13962"/>
    <n v="17541"/>
    <x v="61"/>
    <x v="324"/>
    <x v="9"/>
    <s v="UPI"/>
    <s v="Under Treatment"/>
    <n v="832"/>
    <s v="+91-9996979534"/>
  </r>
  <r>
    <x v="836"/>
    <x v="283"/>
    <n v="69"/>
    <x v="1"/>
    <s v="AB-"/>
    <x v="6"/>
    <x v="0"/>
    <x v="10"/>
    <n v="522"/>
    <n v="1478"/>
    <n v="3535"/>
    <n v="14482"/>
    <n v="20017"/>
    <x v="214"/>
    <x v="221"/>
    <x v="3"/>
    <s v="Card"/>
    <s v="Under Treatment"/>
    <n v="136"/>
    <s v="+91-8014154934"/>
  </r>
  <r>
    <x v="837"/>
    <x v="162"/>
    <n v="15"/>
    <x v="0"/>
    <s v="O-"/>
    <x v="2"/>
    <x v="4"/>
    <x v="8"/>
    <n v="677"/>
    <n v="1184"/>
    <n v="6546"/>
    <n v="12364"/>
    <n v="20771"/>
    <x v="322"/>
    <x v="248"/>
    <x v="1"/>
    <s v="Card"/>
    <s v="Discharged"/>
    <n v="711"/>
    <s v="+91-9303373458"/>
  </r>
  <r>
    <x v="838"/>
    <x v="226"/>
    <n v="25"/>
    <x v="0"/>
    <s v="AB-"/>
    <x v="1"/>
    <x v="0"/>
    <x v="12"/>
    <n v="1464"/>
    <n v="616"/>
    <n v="1551"/>
    <n v="6592"/>
    <n v="10223"/>
    <x v="175"/>
    <x v="139"/>
    <x v="8"/>
    <s v="Cash"/>
    <s v="Discharged"/>
    <n v="489"/>
    <s v="+91-6657548812"/>
  </r>
  <r>
    <x v="839"/>
    <x v="338"/>
    <n v="9"/>
    <x v="0"/>
    <s v="O+"/>
    <x v="3"/>
    <x v="2"/>
    <x v="4"/>
    <n v="987"/>
    <n v="4095"/>
    <n v="507"/>
    <n v="8217"/>
    <n v="13806"/>
    <x v="109"/>
    <x v="297"/>
    <x v="6"/>
    <s v="Card"/>
    <s v="Admitted"/>
    <n v="660"/>
    <s v="+91-7363882153"/>
  </r>
  <r>
    <x v="840"/>
    <x v="350"/>
    <n v="9"/>
    <x v="1"/>
    <s v="A+"/>
    <x v="2"/>
    <x v="4"/>
    <x v="7"/>
    <n v="958"/>
    <n v="3534"/>
    <n v="614"/>
    <n v="3350"/>
    <n v="8456"/>
    <x v="302"/>
    <x v="35"/>
    <x v="7"/>
    <s v="Cash"/>
    <s v="Under Treatment"/>
    <n v="159"/>
    <s v="+91-9494840945"/>
  </r>
  <r>
    <x v="841"/>
    <x v="56"/>
    <n v="16"/>
    <x v="0"/>
    <s v="AB+"/>
    <x v="2"/>
    <x v="4"/>
    <x v="6"/>
    <n v="340"/>
    <n v="4402"/>
    <n v="7977"/>
    <n v="10363"/>
    <n v="23082"/>
    <x v="313"/>
    <x v="325"/>
    <x v="2"/>
    <s v="Card"/>
    <s v="Under Treatment"/>
    <n v="602"/>
    <s v="+91-8631133489"/>
  </r>
  <r>
    <x v="842"/>
    <x v="96"/>
    <n v="82"/>
    <x v="1"/>
    <s v="B+"/>
    <x v="7"/>
    <x v="4"/>
    <x v="0"/>
    <n v="1230"/>
    <n v="4894"/>
    <n v="7504"/>
    <n v="6900"/>
    <n v="20528"/>
    <x v="33"/>
    <x v="278"/>
    <x v="2"/>
    <s v="UPI"/>
    <s v="Admitted"/>
    <n v="476"/>
    <s v="+91-9178299775"/>
  </r>
  <r>
    <x v="843"/>
    <x v="324"/>
    <n v="39"/>
    <x v="0"/>
    <s v="B-"/>
    <x v="2"/>
    <x v="4"/>
    <x v="1"/>
    <n v="1140"/>
    <n v="4935"/>
    <n v="7276"/>
    <n v="4718"/>
    <n v="18069"/>
    <x v="246"/>
    <x v="153"/>
    <x v="8"/>
    <s v="Insurance"/>
    <s v="Discharged"/>
    <n v="571"/>
    <s v="+91-9150140731"/>
  </r>
  <r>
    <x v="844"/>
    <x v="202"/>
    <n v="50"/>
    <x v="1"/>
    <s v="B-"/>
    <x v="1"/>
    <x v="3"/>
    <x v="13"/>
    <n v="967"/>
    <n v="3767"/>
    <n v="1390"/>
    <n v="12850"/>
    <n v="18974"/>
    <x v="103"/>
    <x v="131"/>
    <x v="7"/>
    <s v="Card"/>
    <s v="Under Treatment"/>
    <n v="299"/>
    <s v="+91-9752109786"/>
  </r>
  <r>
    <x v="845"/>
    <x v="330"/>
    <n v="60"/>
    <x v="1"/>
    <s v="O+"/>
    <x v="1"/>
    <x v="6"/>
    <x v="9"/>
    <n v="737"/>
    <n v="3718"/>
    <n v="1457"/>
    <n v="8704"/>
    <n v="14616"/>
    <x v="285"/>
    <x v="52"/>
    <x v="4"/>
    <s v="Insurance"/>
    <s v="Admitted"/>
    <n v="304"/>
    <s v="+91-6932772992"/>
  </r>
  <r>
    <x v="846"/>
    <x v="176"/>
    <n v="21"/>
    <x v="1"/>
    <s v="O+"/>
    <x v="5"/>
    <x v="3"/>
    <x v="7"/>
    <n v="1207"/>
    <n v="695"/>
    <n v="5984"/>
    <n v="4382"/>
    <n v="12268"/>
    <x v="161"/>
    <x v="244"/>
    <x v="9"/>
    <s v="Card"/>
    <s v="Under Treatment"/>
    <n v="511"/>
    <s v="+91-8469903156"/>
  </r>
  <r>
    <x v="847"/>
    <x v="303"/>
    <n v="53"/>
    <x v="1"/>
    <s v="A-"/>
    <x v="7"/>
    <x v="6"/>
    <x v="3"/>
    <n v="567"/>
    <n v="4486"/>
    <n v="2890"/>
    <n v="11000"/>
    <n v="18943"/>
    <x v="18"/>
    <x v="8"/>
    <x v="0"/>
    <s v="Cash"/>
    <s v="Admitted"/>
    <n v="121"/>
    <s v="+91-6037231689"/>
  </r>
  <r>
    <x v="848"/>
    <x v="5"/>
    <n v="12"/>
    <x v="1"/>
    <s v="O-"/>
    <x v="1"/>
    <x v="2"/>
    <x v="4"/>
    <n v="608"/>
    <n v="2244"/>
    <n v="2819"/>
    <n v="14773"/>
    <n v="20444"/>
    <x v="224"/>
    <x v="255"/>
    <x v="6"/>
    <s v="Insurance"/>
    <s v="Discharged"/>
    <n v="446"/>
    <s v="+91-9021952801"/>
  </r>
  <r>
    <x v="849"/>
    <x v="181"/>
    <n v="39"/>
    <x v="0"/>
    <s v="AB-"/>
    <x v="3"/>
    <x v="3"/>
    <x v="0"/>
    <n v="634"/>
    <n v="3901"/>
    <n v="1270"/>
    <n v="9721"/>
    <n v="15526"/>
    <x v="333"/>
    <x v="326"/>
    <x v="9"/>
    <s v="UPI"/>
    <s v="Under Treatment"/>
    <n v="968"/>
    <s v="+91-9881154133"/>
  </r>
  <r>
    <x v="850"/>
    <x v="48"/>
    <n v="85"/>
    <x v="0"/>
    <s v="B+"/>
    <x v="7"/>
    <x v="6"/>
    <x v="11"/>
    <n v="380"/>
    <n v="1610"/>
    <n v="7510"/>
    <n v="7241"/>
    <n v="16741"/>
    <x v="230"/>
    <x v="3"/>
    <x v="4"/>
    <s v="Cash"/>
    <s v="Under Treatment"/>
    <n v="804"/>
    <s v="+91-9513075817"/>
  </r>
  <r>
    <x v="851"/>
    <x v="351"/>
    <n v="75"/>
    <x v="0"/>
    <s v="B+"/>
    <x v="7"/>
    <x v="0"/>
    <x v="5"/>
    <n v="1307"/>
    <n v="3316"/>
    <n v="7554"/>
    <n v="6566"/>
    <n v="18743"/>
    <x v="210"/>
    <x v="68"/>
    <x v="5"/>
    <s v="UPI"/>
    <s v="Under Treatment"/>
    <n v="503"/>
    <s v="+91-9937471439"/>
  </r>
  <r>
    <x v="852"/>
    <x v="278"/>
    <n v="26"/>
    <x v="1"/>
    <s v="O-"/>
    <x v="6"/>
    <x v="6"/>
    <x v="6"/>
    <n v="1026"/>
    <n v="4552"/>
    <n v="430"/>
    <n v="11188"/>
    <n v="17196"/>
    <x v="242"/>
    <x v="165"/>
    <x v="9"/>
    <s v="UPI"/>
    <s v="Admitted"/>
    <n v="625"/>
    <s v="+91-7203646699"/>
  </r>
  <r>
    <x v="853"/>
    <x v="300"/>
    <n v="63"/>
    <x v="1"/>
    <s v="O+"/>
    <x v="3"/>
    <x v="3"/>
    <x v="12"/>
    <n v="789"/>
    <n v="3011"/>
    <n v="2455"/>
    <n v="8355"/>
    <n v="14610"/>
    <x v="263"/>
    <x v="32"/>
    <x v="0"/>
    <s v="Insurance"/>
    <s v="Under Treatment"/>
    <n v="182"/>
    <s v="+91-7429875629"/>
  </r>
  <r>
    <x v="854"/>
    <x v="293"/>
    <n v="17"/>
    <x v="0"/>
    <s v="O+"/>
    <x v="2"/>
    <x v="3"/>
    <x v="9"/>
    <n v="1079"/>
    <n v="2135"/>
    <n v="7709"/>
    <n v="8702"/>
    <n v="19625"/>
    <x v="317"/>
    <x v="160"/>
    <x v="0"/>
    <s v="Insurance"/>
    <s v="Discharged"/>
    <n v="475"/>
    <s v="+91-9449485925"/>
  </r>
  <r>
    <x v="855"/>
    <x v="221"/>
    <n v="53"/>
    <x v="1"/>
    <s v="A-"/>
    <x v="3"/>
    <x v="6"/>
    <x v="2"/>
    <n v="835"/>
    <n v="2080"/>
    <n v="4304"/>
    <n v="5614"/>
    <n v="12833"/>
    <x v="334"/>
    <x v="186"/>
    <x v="4"/>
    <s v="UPI"/>
    <s v="Under Treatment"/>
    <n v="216"/>
    <s v="+91-6098816263"/>
  </r>
  <r>
    <x v="856"/>
    <x v="278"/>
    <n v="32"/>
    <x v="0"/>
    <s v="A+"/>
    <x v="3"/>
    <x v="3"/>
    <x v="2"/>
    <n v="433"/>
    <n v="1761"/>
    <n v="4985"/>
    <n v="14131"/>
    <n v="21310"/>
    <x v="77"/>
    <x v="221"/>
    <x v="5"/>
    <s v="Cash"/>
    <s v="Under Treatment"/>
    <n v="926"/>
    <s v="+91-7465162819"/>
  </r>
  <r>
    <x v="857"/>
    <x v="107"/>
    <n v="20"/>
    <x v="1"/>
    <s v="A-"/>
    <x v="1"/>
    <x v="3"/>
    <x v="11"/>
    <n v="549"/>
    <n v="960"/>
    <n v="6068"/>
    <n v="3272"/>
    <n v="10849"/>
    <x v="328"/>
    <x v="263"/>
    <x v="9"/>
    <s v="Cash"/>
    <s v="Admitted"/>
    <n v="543"/>
    <s v="+91-9399864874"/>
  </r>
  <r>
    <x v="858"/>
    <x v="342"/>
    <n v="7"/>
    <x v="0"/>
    <s v="B+"/>
    <x v="5"/>
    <x v="4"/>
    <x v="13"/>
    <n v="1384"/>
    <n v="2078"/>
    <n v="4199"/>
    <n v="14394"/>
    <n v="22055"/>
    <x v="98"/>
    <x v="241"/>
    <x v="4"/>
    <s v="UPI"/>
    <s v="Under Treatment"/>
    <n v="792"/>
    <s v="+91-8541813403"/>
  </r>
  <r>
    <x v="859"/>
    <x v="352"/>
    <n v="24"/>
    <x v="0"/>
    <s v="A-"/>
    <x v="4"/>
    <x v="0"/>
    <x v="7"/>
    <n v="704"/>
    <n v="2656"/>
    <n v="1478"/>
    <n v="9880"/>
    <n v="14718"/>
    <x v="190"/>
    <x v="202"/>
    <x v="5"/>
    <s v="Card"/>
    <s v="Discharged"/>
    <n v="874"/>
    <s v="+91-6978030819"/>
  </r>
  <r>
    <x v="860"/>
    <x v="225"/>
    <n v="82"/>
    <x v="1"/>
    <s v="A+"/>
    <x v="5"/>
    <x v="3"/>
    <x v="9"/>
    <n v="746"/>
    <n v="3994"/>
    <n v="2355"/>
    <n v="14508"/>
    <n v="21603"/>
    <x v="149"/>
    <x v="248"/>
    <x v="3"/>
    <s v="UPI"/>
    <s v="Discharged"/>
    <n v="872"/>
    <s v="+91-6692624346"/>
  </r>
  <r>
    <x v="861"/>
    <x v="117"/>
    <n v="9"/>
    <x v="1"/>
    <s v="O-"/>
    <x v="1"/>
    <x v="2"/>
    <x v="12"/>
    <n v="1180"/>
    <n v="1154"/>
    <n v="5821"/>
    <n v="13524"/>
    <n v="21679"/>
    <x v="247"/>
    <x v="194"/>
    <x v="5"/>
    <s v="UPI"/>
    <s v="Under Treatment"/>
    <n v="797"/>
    <s v="+91-8600632148"/>
  </r>
  <r>
    <x v="862"/>
    <x v="247"/>
    <n v="34"/>
    <x v="1"/>
    <s v="B-"/>
    <x v="7"/>
    <x v="0"/>
    <x v="2"/>
    <n v="1283"/>
    <n v="3534"/>
    <n v="4393"/>
    <n v="5919"/>
    <n v="15129"/>
    <x v="61"/>
    <x v="97"/>
    <x v="3"/>
    <s v="Card"/>
    <s v="Admitted"/>
    <n v="807"/>
    <s v="+91-7515672326"/>
  </r>
  <r>
    <x v="863"/>
    <x v="285"/>
    <n v="60"/>
    <x v="1"/>
    <s v="B+"/>
    <x v="5"/>
    <x v="6"/>
    <x v="1"/>
    <n v="1251"/>
    <n v="4204"/>
    <n v="1550"/>
    <n v="3327"/>
    <n v="10332"/>
    <x v="161"/>
    <x v="309"/>
    <x v="0"/>
    <s v="UPI"/>
    <s v="Discharged"/>
    <n v="991"/>
    <s v="+91-8715248432"/>
  </r>
  <r>
    <x v="864"/>
    <x v="307"/>
    <n v="47"/>
    <x v="0"/>
    <s v="B+"/>
    <x v="5"/>
    <x v="1"/>
    <x v="7"/>
    <n v="609"/>
    <n v="2006"/>
    <n v="2077"/>
    <n v="2553"/>
    <n v="7245"/>
    <x v="116"/>
    <x v="301"/>
    <x v="4"/>
    <s v="UPI"/>
    <s v="Admitted"/>
    <n v="122"/>
    <s v="+91-8135983591"/>
  </r>
  <r>
    <x v="865"/>
    <x v="302"/>
    <n v="39"/>
    <x v="1"/>
    <s v="O-"/>
    <x v="0"/>
    <x v="5"/>
    <x v="4"/>
    <n v="1296"/>
    <n v="4588"/>
    <n v="3845"/>
    <n v="8128"/>
    <n v="17857"/>
    <x v="1"/>
    <x v="179"/>
    <x v="0"/>
    <s v="Cash"/>
    <s v="Discharged"/>
    <n v="822"/>
    <s v="+91-8047411996"/>
  </r>
  <r>
    <x v="866"/>
    <x v="166"/>
    <n v="19"/>
    <x v="0"/>
    <s v="O+"/>
    <x v="7"/>
    <x v="3"/>
    <x v="4"/>
    <n v="1152"/>
    <n v="4518"/>
    <n v="406"/>
    <n v="6046"/>
    <n v="12122"/>
    <x v="260"/>
    <x v="148"/>
    <x v="8"/>
    <s v="Insurance"/>
    <s v="Under Treatment"/>
    <n v="224"/>
    <s v="+91-8573182872"/>
  </r>
  <r>
    <x v="867"/>
    <x v="206"/>
    <n v="37"/>
    <x v="1"/>
    <s v="B-"/>
    <x v="1"/>
    <x v="0"/>
    <x v="0"/>
    <n v="1056"/>
    <n v="4379"/>
    <n v="817"/>
    <n v="1290"/>
    <n v="7542"/>
    <x v="247"/>
    <x v="68"/>
    <x v="1"/>
    <s v="UPI"/>
    <s v="Under Treatment"/>
    <n v="339"/>
    <s v="+91-9909047839"/>
  </r>
  <r>
    <x v="868"/>
    <x v="98"/>
    <n v="36"/>
    <x v="1"/>
    <s v="B-"/>
    <x v="1"/>
    <x v="6"/>
    <x v="4"/>
    <n v="560"/>
    <n v="3136"/>
    <n v="6702"/>
    <n v="11365"/>
    <n v="21763"/>
    <x v="172"/>
    <x v="276"/>
    <x v="6"/>
    <s v="Card"/>
    <s v="Discharged"/>
    <n v="676"/>
    <s v="+91-8017571805"/>
  </r>
  <r>
    <x v="869"/>
    <x v="345"/>
    <n v="66"/>
    <x v="0"/>
    <s v="A-"/>
    <x v="5"/>
    <x v="4"/>
    <x v="0"/>
    <n v="958"/>
    <n v="1166"/>
    <n v="4635"/>
    <n v="9043"/>
    <n v="15802"/>
    <x v="48"/>
    <x v="77"/>
    <x v="2"/>
    <s v="Insurance"/>
    <s v="Admitted"/>
    <n v="910"/>
    <s v="+91-9306891554"/>
  </r>
  <r>
    <x v="870"/>
    <x v="183"/>
    <n v="47"/>
    <x v="0"/>
    <s v="B+"/>
    <x v="7"/>
    <x v="6"/>
    <x v="3"/>
    <n v="757"/>
    <n v="525"/>
    <n v="2980"/>
    <n v="6835"/>
    <n v="11097"/>
    <x v="335"/>
    <x v="50"/>
    <x v="3"/>
    <s v="UPI"/>
    <s v="Discharged"/>
    <n v="596"/>
    <s v="+91-7349342488"/>
  </r>
  <r>
    <x v="871"/>
    <x v="323"/>
    <n v="26"/>
    <x v="0"/>
    <s v="AB+"/>
    <x v="4"/>
    <x v="4"/>
    <x v="9"/>
    <n v="424"/>
    <n v="2096"/>
    <n v="4588"/>
    <n v="14088"/>
    <n v="21196"/>
    <x v="118"/>
    <x v="51"/>
    <x v="7"/>
    <s v="Cash"/>
    <s v="Discharged"/>
    <n v="367"/>
    <s v="+91-6877204248"/>
  </r>
  <r>
    <x v="872"/>
    <x v="240"/>
    <n v="4"/>
    <x v="0"/>
    <s v="B+"/>
    <x v="5"/>
    <x v="2"/>
    <x v="6"/>
    <n v="1054"/>
    <n v="4308"/>
    <n v="6655"/>
    <n v="3418"/>
    <n v="15435"/>
    <x v="247"/>
    <x v="274"/>
    <x v="1"/>
    <s v="Insurance"/>
    <s v="Discharged"/>
    <n v="210"/>
    <s v="+91-7174897125"/>
  </r>
  <r>
    <x v="873"/>
    <x v="105"/>
    <n v="26"/>
    <x v="1"/>
    <s v="AB-"/>
    <x v="6"/>
    <x v="1"/>
    <x v="7"/>
    <n v="563"/>
    <n v="3144"/>
    <n v="438"/>
    <n v="3030"/>
    <n v="7175"/>
    <x v="41"/>
    <x v="282"/>
    <x v="3"/>
    <s v="Card"/>
    <s v="Discharged"/>
    <n v="951"/>
    <s v="+91-9094529283"/>
  </r>
  <r>
    <x v="874"/>
    <x v="59"/>
    <n v="4"/>
    <x v="1"/>
    <s v="O-"/>
    <x v="1"/>
    <x v="2"/>
    <x v="8"/>
    <n v="664"/>
    <n v="3175"/>
    <n v="5322"/>
    <n v="14698"/>
    <n v="23859"/>
    <x v="284"/>
    <x v="253"/>
    <x v="2"/>
    <s v="Cash"/>
    <s v="Under Treatment"/>
    <n v="157"/>
    <s v="+91-9104302155"/>
  </r>
  <r>
    <x v="875"/>
    <x v="40"/>
    <n v="9"/>
    <x v="0"/>
    <s v="O-"/>
    <x v="3"/>
    <x v="1"/>
    <x v="0"/>
    <n v="509"/>
    <n v="4782"/>
    <n v="1638"/>
    <n v="12695"/>
    <n v="19624"/>
    <x v="269"/>
    <x v="293"/>
    <x v="8"/>
    <s v="Cash"/>
    <s v="Discharged"/>
    <n v="451"/>
    <s v="+91-9224879193"/>
  </r>
  <r>
    <x v="876"/>
    <x v="146"/>
    <n v="52"/>
    <x v="0"/>
    <s v="A-"/>
    <x v="5"/>
    <x v="6"/>
    <x v="8"/>
    <n v="617"/>
    <n v="4990"/>
    <n v="7040"/>
    <n v="2465"/>
    <n v="15112"/>
    <x v="200"/>
    <x v="169"/>
    <x v="9"/>
    <s v="UPI"/>
    <s v="Admitted"/>
    <n v="345"/>
    <s v="+91-6242726537"/>
  </r>
  <r>
    <x v="877"/>
    <x v="228"/>
    <n v="7"/>
    <x v="0"/>
    <s v="O-"/>
    <x v="7"/>
    <x v="1"/>
    <x v="12"/>
    <n v="386"/>
    <n v="2294"/>
    <n v="6513"/>
    <n v="4811"/>
    <n v="14004"/>
    <x v="251"/>
    <x v="30"/>
    <x v="3"/>
    <s v="Insurance"/>
    <s v="Under Treatment"/>
    <n v="786"/>
    <s v="+91-7699985771"/>
  </r>
  <r>
    <x v="878"/>
    <x v="353"/>
    <n v="38"/>
    <x v="1"/>
    <s v="B-"/>
    <x v="2"/>
    <x v="2"/>
    <x v="14"/>
    <n v="1426"/>
    <n v="1056"/>
    <n v="628"/>
    <n v="4278"/>
    <n v="7388"/>
    <x v="125"/>
    <x v="315"/>
    <x v="7"/>
    <s v="Insurance"/>
    <s v="Admitted"/>
    <n v="457"/>
    <s v="+91-9014312032"/>
  </r>
  <r>
    <x v="879"/>
    <x v="247"/>
    <n v="48"/>
    <x v="0"/>
    <s v="O-"/>
    <x v="5"/>
    <x v="2"/>
    <x v="4"/>
    <n v="611"/>
    <n v="4892"/>
    <n v="360"/>
    <n v="11283"/>
    <n v="17146"/>
    <x v="266"/>
    <x v="51"/>
    <x v="2"/>
    <s v="Insurance"/>
    <s v="Admitted"/>
    <n v="954"/>
    <s v="+91-6865804917"/>
  </r>
  <r>
    <x v="880"/>
    <x v="236"/>
    <n v="43"/>
    <x v="0"/>
    <s v="AB+"/>
    <x v="1"/>
    <x v="0"/>
    <x v="10"/>
    <n v="1104"/>
    <n v="1476"/>
    <n v="5628"/>
    <n v="5675"/>
    <n v="13883"/>
    <x v="90"/>
    <x v="168"/>
    <x v="4"/>
    <s v="Card"/>
    <s v="Admitted"/>
    <n v="142"/>
    <s v="+91-7664093921"/>
  </r>
  <r>
    <x v="881"/>
    <x v="149"/>
    <n v="26"/>
    <x v="1"/>
    <s v="O+"/>
    <x v="0"/>
    <x v="0"/>
    <x v="9"/>
    <n v="1039"/>
    <n v="4299"/>
    <n v="745"/>
    <n v="11614"/>
    <n v="17697"/>
    <x v="220"/>
    <x v="276"/>
    <x v="6"/>
    <s v="Cash"/>
    <s v="Discharged"/>
    <n v="112"/>
    <s v="+91-6929532075"/>
  </r>
  <r>
    <x v="882"/>
    <x v="169"/>
    <n v="27"/>
    <x v="1"/>
    <s v="O+"/>
    <x v="5"/>
    <x v="6"/>
    <x v="13"/>
    <n v="1237"/>
    <n v="3701"/>
    <n v="5230"/>
    <n v="13351"/>
    <n v="23519"/>
    <x v="127"/>
    <x v="207"/>
    <x v="4"/>
    <s v="Card"/>
    <s v="Admitted"/>
    <n v="731"/>
    <s v="+91-6460685009"/>
  </r>
  <r>
    <x v="883"/>
    <x v="111"/>
    <n v="80"/>
    <x v="0"/>
    <s v="A+"/>
    <x v="2"/>
    <x v="1"/>
    <x v="10"/>
    <n v="300"/>
    <n v="2985"/>
    <n v="3945"/>
    <n v="7249"/>
    <n v="14479"/>
    <x v="226"/>
    <x v="148"/>
    <x v="5"/>
    <s v="Card"/>
    <s v="Under Treatment"/>
    <n v="295"/>
    <s v="+91-7817482687"/>
  </r>
  <r>
    <x v="884"/>
    <x v="18"/>
    <n v="36"/>
    <x v="1"/>
    <s v="A-"/>
    <x v="2"/>
    <x v="3"/>
    <x v="9"/>
    <n v="371"/>
    <n v="1483"/>
    <n v="2774"/>
    <n v="3323"/>
    <n v="7951"/>
    <x v="128"/>
    <x v="115"/>
    <x v="7"/>
    <s v="Cash"/>
    <s v="Discharged"/>
    <n v="278"/>
    <s v="+91-6061607195"/>
  </r>
  <r>
    <x v="885"/>
    <x v="2"/>
    <n v="31"/>
    <x v="1"/>
    <s v="A-"/>
    <x v="6"/>
    <x v="4"/>
    <x v="10"/>
    <n v="346"/>
    <n v="4429"/>
    <n v="818"/>
    <n v="12983"/>
    <n v="18576"/>
    <x v="39"/>
    <x v="264"/>
    <x v="7"/>
    <s v="Insurance"/>
    <s v="Admitted"/>
    <n v="138"/>
    <s v="+91-8136417395"/>
  </r>
  <r>
    <x v="886"/>
    <x v="285"/>
    <n v="53"/>
    <x v="0"/>
    <s v="A+"/>
    <x v="2"/>
    <x v="3"/>
    <x v="12"/>
    <n v="429"/>
    <n v="2800"/>
    <n v="6115"/>
    <n v="5613"/>
    <n v="14957"/>
    <x v="92"/>
    <x v="171"/>
    <x v="2"/>
    <s v="UPI"/>
    <s v="Admitted"/>
    <n v="340"/>
    <s v="+91-8962132436"/>
  </r>
  <r>
    <x v="887"/>
    <x v="249"/>
    <n v="84"/>
    <x v="0"/>
    <s v="AB-"/>
    <x v="5"/>
    <x v="6"/>
    <x v="15"/>
    <n v="774"/>
    <n v="887"/>
    <n v="2647"/>
    <n v="6964"/>
    <n v="11272"/>
    <x v="237"/>
    <x v="225"/>
    <x v="8"/>
    <s v="Insurance"/>
    <s v="Under Treatment"/>
    <n v="267"/>
    <s v="+91-7603171551"/>
  </r>
  <r>
    <x v="888"/>
    <x v="80"/>
    <n v="70"/>
    <x v="0"/>
    <s v="O+"/>
    <x v="1"/>
    <x v="0"/>
    <x v="2"/>
    <n v="1133"/>
    <n v="1925"/>
    <n v="5053"/>
    <n v="7582"/>
    <n v="15693"/>
    <x v="65"/>
    <x v="327"/>
    <x v="8"/>
    <s v="Insurance"/>
    <s v="Under Treatment"/>
    <n v="655"/>
    <s v="+91-7751598399"/>
  </r>
  <r>
    <x v="889"/>
    <x v="68"/>
    <n v="12"/>
    <x v="1"/>
    <s v="A+"/>
    <x v="3"/>
    <x v="1"/>
    <x v="13"/>
    <n v="1034"/>
    <n v="4322"/>
    <n v="3992"/>
    <n v="13348"/>
    <n v="22696"/>
    <x v="8"/>
    <x v="158"/>
    <x v="9"/>
    <s v="Card"/>
    <s v="Under Treatment"/>
    <n v="449"/>
    <s v="+91-8320188761"/>
  </r>
  <r>
    <x v="890"/>
    <x v="179"/>
    <n v="18"/>
    <x v="0"/>
    <s v="A+"/>
    <x v="5"/>
    <x v="1"/>
    <x v="6"/>
    <n v="1158"/>
    <n v="1416"/>
    <n v="4407"/>
    <n v="9912"/>
    <n v="16893"/>
    <x v="69"/>
    <x v="154"/>
    <x v="5"/>
    <s v="Card"/>
    <s v="Under Treatment"/>
    <n v="332"/>
    <s v="+91-8937803542"/>
  </r>
  <r>
    <x v="891"/>
    <x v="98"/>
    <n v="15"/>
    <x v="1"/>
    <s v="B-"/>
    <x v="1"/>
    <x v="3"/>
    <x v="8"/>
    <n v="1371"/>
    <n v="3717"/>
    <n v="2094"/>
    <n v="10453"/>
    <n v="17635"/>
    <x v="293"/>
    <x v="271"/>
    <x v="5"/>
    <s v="Insurance"/>
    <s v="Admitted"/>
    <n v="954"/>
    <s v="+91-8980461775"/>
  </r>
  <r>
    <x v="892"/>
    <x v="170"/>
    <n v="65"/>
    <x v="0"/>
    <s v="A-"/>
    <x v="7"/>
    <x v="6"/>
    <x v="0"/>
    <n v="447"/>
    <n v="3011"/>
    <n v="2281"/>
    <n v="13383"/>
    <n v="19122"/>
    <x v="163"/>
    <x v="112"/>
    <x v="7"/>
    <s v="Card"/>
    <s v="Admitted"/>
    <n v="116"/>
    <s v="+91-6133562510"/>
  </r>
  <r>
    <x v="893"/>
    <x v="328"/>
    <n v="27"/>
    <x v="0"/>
    <s v="A+"/>
    <x v="4"/>
    <x v="3"/>
    <x v="6"/>
    <n v="819"/>
    <n v="4207"/>
    <n v="1274"/>
    <n v="7912"/>
    <n v="14212"/>
    <x v="216"/>
    <x v="152"/>
    <x v="1"/>
    <s v="UPI"/>
    <s v="Discharged"/>
    <n v="497"/>
    <s v="+91-7610251710"/>
  </r>
  <r>
    <x v="894"/>
    <x v="10"/>
    <n v="55"/>
    <x v="1"/>
    <s v="AB+"/>
    <x v="2"/>
    <x v="6"/>
    <x v="15"/>
    <n v="364"/>
    <n v="4595"/>
    <n v="2918"/>
    <n v="6758"/>
    <n v="14635"/>
    <x v="140"/>
    <x v="230"/>
    <x v="4"/>
    <s v="Cash"/>
    <s v="Discharged"/>
    <n v="805"/>
    <s v="+91-8521681465"/>
  </r>
  <r>
    <x v="895"/>
    <x v="330"/>
    <n v="63"/>
    <x v="0"/>
    <s v="B-"/>
    <x v="5"/>
    <x v="3"/>
    <x v="12"/>
    <n v="1298"/>
    <n v="1211"/>
    <n v="4190"/>
    <n v="5131"/>
    <n v="11830"/>
    <x v="320"/>
    <x v="293"/>
    <x v="5"/>
    <s v="Cash"/>
    <s v="Discharged"/>
    <n v="488"/>
    <s v="+91-9217154801"/>
  </r>
  <r>
    <x v="896"/>
    <x v="17"/>
    <n v="78"/>
    <x v="1"/>
    <s v="B+"/>
    <x v="2"/>
    <x v="2"/>
    <x v="13"/>
    <n v="934"/>
    <n v="4196"/>
    <n v="2074"/>
    <n v="11055"/>
    <n v="18259"/>
    <x v="158"/>
    <x v="328"/>
    <x v="0"/>
    <s v="Cash"/>
    <s v="Under Treatment"/>
    <n v="555"/>
    <s v="+91-6296780559"/>
  </r>
  <r>
    <x v="897"/>
    <x v="336"/>
    <n v="60"/>
    <x v="1"/>
    <s v="O+"/>
    <x v="5"/>
    <x v="6"/>
    <x v="12"/>
    <n v="818"/>
    <n v="1463"/>
    <n v="6019"/>
    <n v="9466"/>
    <n v="17766"/>
    <x v="197"/>
    <x v="139"/>
    <x v="4"/>
    <s v="Card"/>
    <s v="Admitted"/>
    <n v="397"/>
    <s v="+91-8581792229"/>
  </r>
  <r>
    <x v="898"/>
    <x v="346"/>
    <n v="15"/>
    <x v="0"/>
    <s v="AB+"/>
    <x v="4"/>
    <x v="5"/>
    <x v="4"/>
    <n v="1287"/>
    <n v="4483"/>
    <n v="2340"/>
    <n v="1093"/>
    <n v="9203"/>
    <x v="276"/>
    <x v="18"/>
    <x v="9"/>
    <s v="UPI"/>
    <s v="Admitted"/>
    <n v="328"/>
    <s v="+91-7460591282"/>
  </r>
  <r>
    <x v="899"/>
    <x v="72"/>
    <n v="30"/>
    <x v="1"/>
    <s v="AB-"/>
    <x v="4"/>
    <x v="4"/>
    <x v="11"/>
    <n v="636"/>
    <n v="1640"/>
    <n v="1381"/>
    <n v="13129"/>
    <n v="16786"/>
    <x v="159"/>
    <x v="107"/>
    <x v="0"/>
    <s v="UPI"/>
    <s v="Under Treatment"/>
    <n v="540"/>
    <s v="+91-6088208330"/>
  </r>
  <r>
    <x v="900"/>
    <x v="163"/>
    <n v="82"/>
    <x v="0"/>
    <s v="A-"/>
    <x v="5"/>
    <x v="5"/>
    <x v="15"/>
    <n v="368"/>
    <n v="2784"/>
    <n v="3874"/>
    <n v="10130"/>
    <n v="17156"/>
    <x v="178"/>
    <x v="260"/>
    <x v="5"/>
    <s v="UPI"/>
    <s v="Under Treatment"/>
    <n v="466"/>
    <s v="+91-8038501087"/>
  </r>
  <r>
    <x v="901"/>
    <x v="73"/>
    <n v="32"/>
    <x v="0"/>
    <s v="O-"/>
    <x v="4"/>
    <x v="2"/>
    <x v="5"/>
    <n v="631"/>
    <n v="1207"/>
    <n v="4972"/>
    <n v="4060"/>
    <n v="10870"/>
    <x v="235"/>
    <x v="196"/>
    <x v="4"/>
    <s v="UPI"/>
    <s v="Discharged"/>
    <n v="168"/>
    <s v="+91-9393016268"/>
  </r>
  <r>
    <x v="902"/>
    <x v="179"/>
    <n v="53"/>
    <x v="0"/>
    <s v="O-"/>
    <x v="2"/>
    <x v="5"/>
    <x v="3"/>
    <n v="714"/>
    <n v="1707"/>
    <n v="2760"/>
    <n v="3182"/>
    <n v="8363"/>
    <x v="178"/>
    <x v="301"/>
    <x v="0"/>
    <s v="Cash"/>
    <s v="Admitted"/>
    <n v="637"/>
    <s v="+91-8860066808"/>
  </r>
  <r>
    <x v="903"/>
    <x v="216"/>
    <n v="68"/>
    <x v="0"/>
    <s v="AB-"/>
    <x v="6"/>
    <x v="4"/>
    <x v="0"/>
    <n v="954"/>
    <n v="2496"/>
    <n v="7349"/>
    <n v="8870"/>
    <n v="19669"/>
    <x v="25"/>
    <x v="202"/>
    <x v="4"/>
    <s v="Card"/>
    <s v="Admitted"/>
    <n v="276"/>
    <s v="+91-7665835428"/>
  </r>
  <r>
    <x v="904"/>
    <x v="185"/>
    <n v="10"/>
    <x v="0"/>
    <s v="AB+"/>
    <x v="3"/>
    <x v="6"/>
    <x v="0"/>
    <n v="439"/>
    <n v="4413"/>
    <n v="4505"/>
    <n v="2189"/>
    <n v="11546"/>
    <x v="207"/>
    <x v="329"/>
    <x v="7"/>
    <s v="UPI"/>
    <s v="Admitted"/>
    <n v="947"/>
    <s v="+91-7127293439"/>
  </r>
  <r>
    <x v="905"/>
    <x v="178"/>
    <n v="56"/>
    <x v="0"/>
    <s v="B-"/>
    <x v="1"/>
    <x v="3"/>
    <x v="8"/>
    <n v="356"/>
    <n v="2077"/>
    <n v="5802"/>
    <n v="12902"/>
    <n v="21137"/>
    <x v="166"/>
    <x v="301"/>
    <x v="4"/>
    <s v="Card"/>
    <s v="Discharged"/>
    <n v="729"/>
    <s v="+91-9395032478"/>
  </r>
  <r>
    <x v="906"/>
    <x v="221"/>
    <n v="83"/>
    <x v="0"/>
    <s v="A-"/>
    <x v="0"/>
    <x v="3"/>
    <x v="9"/>
    <n v="1318"/>
    <n v="1114"/>
    <n v="3845"/>
    <n v="10827"/>
    <n v="17104"/>
    <x v="140"/>
    <x v="165"/>
    <x v="5"/>
    <s v="Card"/>
    <s v="Under Treatment"/>
    <n v="140"/>
    <s v="+91-7587081183"/>
  </r>
  <r>
    <x v="907"/>
    <x v="198"/>
    <n v="36"/>
    <x v="1"/>
    <s v="AB+"/>
    <x v="1"/>
    <x v="6"/>
    <x v="9"/>
    <n v="1396"/>
    <n v="3179"/>
    <n v="7831"/>
    <n v="6048"/>
    <n v="18454"/>
    <x v="303"/>
    <x v="26"/>
    <x v="4"/>
    <s v="Card"/>
    <s v="Discharged"/>
    <n v="445"/>
    <s v="+91-6390789157"/>
  </r>
  <r>
    <x v="908"/>
    <x v="116"/>
    <n v="69"/>
    <x v="0"/>
    <s v="B-"/>
    <x v="6"/>
    <x v="2"/>
    <x v="10"/>
    <n v="855"/>
    <n v="2867"/>
    <n v="5169"/>
    <n v="9413"/>
    <n v="18304"/>
    <x v="275"/>
    <x v="97"/>
    <x v="8"/>
    <s v="Card"/>
    <s v="Discharged"/>
    <n v="413"/>
    <s v="+91-6823974612"/>
  </r>
  <r>
    <x v="909"/>
    <x v="184"/>
    <n v="53"/>
    <x v="1"/>
    <s v="O-"/>
    <x v="6"/>
    <x v="3"/>
    <x v="14"/>
    <n v="685"/>
    <n v="1640"/>
    <n v="6871"/>
    <n v="13614"/>
    <n v="22810"/>
    <x v="100"/>
    <x v="58"/>
    <x v="7"/>
    <s v="UPI"/>
    <s v="Admitted"/>
    <n v="917"/>
    <s v="+91-7987240267"/>
  </r>
  <r>
    <x v="910"/>
    <x v="39"/>
    <n v="23"/>
    <x v="0"/>
    <s v="AB+"/>
    <x v="6"/>
    <x v="4"/>
    <x v="3"/>
    <n v="721"/>
    <n v="3263"/>
    <n v="1799"/>
    <n v="11608"/>
    <n v="17391"/>
    <x v="169"/>
    <x v="105"/>
    <x v="7"/>
    <s v="UPI"/>
    <s v="Under Treatment"/>
    <n v="570"/>
    <s v="+91-8308152430"/>
  </r>
  <r>
    <x v="911"/>
    <x v="269"/>
    <n v="33"/>
    <x v="0"/>
    <s v="AB-"/>
    <x v="6"/>
    <x v="2"/>
    <x v="11"/>
    <n v="1071"/>
    <n v="3720"/>
    <n v="326"/>
    <n v="2090"/>
    <n v="7207"/>
    <x v="173"/>
    <x v="230"/>
    <x v="4"/>
    <s v="UPI"/>
    <s v="Under Treatment"/>
    <n v="681"/>
    <s v="+91-7806004534"/>
  </r>
  <r>
    <x v="912"/>
    <x v="4"/>
    <n v="7"/>
    <x v="1"/>
    <s v="A-"/>
    <x v="7"/>
    <x v="1"/>
    <x v="11"/>
    <n v="1275"/>
    <n v="4081"/>
    <n v="3469"/>
    <n v="6130"/>
    <n v="14955"/>
    <x v="273"/>
    <x v="59"/>
    <x v="9"/>
    <s v="Cash"/>
    <s v="Admitted"/>
    <n v="967"/>
    <s v="+91-6301850211"/>
  </r>
  <r>
    <x v="913"/>
    <x v="122"/>
    <n v="71"/>
    <x v="1"/>
    <s v="A-"/>
    <x v="3"/>
    <x v="1"/>
    <x v="11"/>
    <n v="1166"/>
    <n v="2178"/>
    <n v="627"/>
    <n v="11818"/>
    <n v="15789"/>
    <x v="226"/>
    <x v="330"/>
    <x v="0"/>
    <s v="UPI"/>
    <s v="Discharged"/>
    <n v="540"/>
    <s v="+91-7033713891"/>
  </r>
  <r>
    <x v="914"/>
    <x v="203"/>
    <n v="80"/>
    <x v="1"/>
    <s v="AB+"/>
    <x v="1"/>
    <x v="0"/>
    <x v="3"/>
    <n v="610"/>
    <n v="688"/>
    <n v="4835"/>
    <n v="10570"/>
    <n v="16703"/>
    <x v="121"/>
    <x v="149"/>
    <x v="9"/>
    <s v="Cash"/>
    <s v="Admitted"/>
    <n v="193"/>
    <s v="+91-8453458276"/>
  </r>
  <r>
    <x v="915"/>
    <x v="236"/>
    <n v="63"/>
    <x v="0"/>
    <s v="B-"/>
    <x v="4"/>
    <x v="1"/>
    <x v="3"/>
    <n v="1132"/>
    <n v="2310"/>
    <n v="2282"/>
    <n v="8528"/>
    <n v="14252"/>
    <x v="314"/>
    <x v="329"/>
    <x v="9"/>
    <s v="Cash"/>
    <s v="Admitted"/>
    <n v="344"/>
    <s v="+91-8882617114"/>
  </r>
  <r>
    <x v="916"/>
    <x v="168"/>
    <n v="75"/>
    <x v="1"/>
    <s v="AB-"/>
    <x v="7"/>
    <x v="0"/>
    <x v="4"/>
    <n v="775"/>
    <n v="1322"/>
    <n v="7240"/>
    <n v="2343"/>
    <n v="11680"/>
    <x v="336"/>
    <x v="299"/>
    <x v="4"/>
    <s v="Insurance"/>
    <s v="Under Treatment"/>
    <n v="868"/>
    <s v="+91-7632786090"/>
  </r>
  <r>
    <x v="917"/>
    <x v="118"/>
    <n v="35"/>
    <x v="0"/>
    <s v="AB+"/>
    <x v="7"/>
    <x v="6"/>
    <x v="14"/>
    <n v="1373"/>
    <n v="3304"/>
    <n v="2938"/>
    <n v="1339"/>
    <n v="8954"/>
    <x v="5"/>
    <x v="79"/>
    <x v="6"/>
    <s v="Insurance"/>
    <s v="Under Treatment"/>
    <n v="310"/>
    <s v="+91-7601855526"/>
  </r>
  <r>
    <x v="918"/>
    <x v="210"/>
    <n v="77"/>
    <x v="1"/>
    <s v="O+"/>
    <x v="3"/>
    <x v="0"/>
    <x v="8"/>
    <n v="724"/>
    <n v="2285"/>
    <n v="2874"/>
    <n v="6787"/>
    <n v="12670"/>
    <x v="163"/>
    <x v="74"/>
    <x v="7"/>
    <s v="Insurance"/>
    <s v="Under Treatment"/>
    <n v="998"/>
    <s v="+91-8017402064"/>
  </r>
  <r>
    <x v="919"/>
    <x v="197"/>
    <n v="32"/>
    <x v="0"/>
    <s v="AB-"/>
    <x v="7"/>
    <x v="4"/>
    <x v="5"/>
    <n v="1096"/>
    <n v="3327"/>
    <n v="3245"/>
    <n v="7241"/>
    <n v="14909"/>
    <x v="244"/>
    <x v="207"/>
    <x v="1"/>
    <s v="Cash"/>
    <s v="Discharged"/>
    <n v="361"/>
    <s v="+91-7495636685"/>
  </r>
  <r>
    <x v="920"/>
    <x v="30"/>
    <n v="47"/>
    <x v="1"/>
    <s v="B-"/>
    <x v="7"/>
    <x v="6"/>
    <x v="7"/>
    <n v="645"/>
    <n v="2295"/>
    <n v="7293"/>
    <n v="10592"/>
    <n v="20825"/>
    <x v="313"/>
    <x v="312"/>
    <x v="6"/>
    <s v="Cash"/>
    <s v="Discharged"/>
    <n v="473"/>
    <s v="+91-6206066199"/>
  </r>
  <r>
    <x v="921"/>
    <x v="211"/>
    <n v="21"/>
    <x v="0"/>
    <s v="B+"/>
    <x v="2"/>
    <x v="6"/>
    <x v="10"/>
    <n v="462"/>
    <n v="4802"/>
    <n v="7935"/>
    <n v="5180"/>
    <n v="18379"/>
    <x v="90"/>
    <x v="211"/>
    <x v="2"/>
    <s v="Insurance"/>
    <s v="Discharged"/>
    <n v="991"/>
    <s v="+91-9934030604"/>
  </r>
  <r>
    <x v="922"/>
    <x v="354"/>
    <n v="53"/>
    <x v="1"/>
    <s v="O+"/>
    <x v="3"/>
    <x v="2"/>
    <x v="6"/>
    <n v="774"/>
    <n v="1255"/>
    <n v="5386"/>
    <n v="1854"/>
    <n v="9269"/>
    <x v="172"/>
    <x v="141"/>
    <x v="9"/>
    <s v="Insurance"/>
    <s v="Discharged"/>
    <n v="271"/>
    <s v="+91-7014665517"/>
  </r>
  <r>
    <x v="923"/>
    <x v="355"/>
    <n v="78"/>
    <x v="0"/>
    <s v="B+"/>
    <x v="4"/>
    <x v="0"/>
    <x v="11"/>
    <n v="851"/>
    <n v="1964"/>
    <n v="4674"/>
    <n v="3033"/>
    <n v="10522"/>
    <x v="48"/>
    <x v="84"/>
    <x v="8"/>
    <s v="Card"/>
    <s v="Admitted"/>
    <n v="905"/>
    <s v="+91-6037565903"/>
  </r>
  <r>
    <x v="924"/>
    <x v="271"/>
    <n v="35"/>
    <x v="0"/>
    <s v="O-"/>
    <x v="2"/>
    <x v="2"/>
    <x v="8"/>
    <n v="576"/>
    <n v="1868"/>
    <n v="696"/>
    <n v="8685"/>
    <n v="11825"/>
    <x v="111"/>
    <x v="184"/>
    <x v="7"/>
    <s v="UPI"/>
    <s v="Discharged"/>
    <n v="351"/>
    <s v="+91-7953970297"/>
  </r>
  <r>
    <x v="925"/>
    <x v="199"/>
    <n v="32"/>
    <x v="0"/>
    <s v="AB+"/>
    <x v="2"/>
    <x v="2"/>
    <x v="6"/>
    <n v="1072"/>
    <n v="1613"/>
    <n v="304"/>
    <n v="5705"/>
    <n v="8694"/>
    <x v="70"/>
    <x v="295"/>
    <x v="4"/>
    <s v="Insurance"/>
    <s v="Under Treatment"/>
    <n v="577"/>
    <s v="+91-8780361048"/>
  </r>
  <r>
    <x v="926"/>
    <x v="163"/>
    <n v="78"/>
    <x v="1"/>
    <s v="A-"/>
    <x v="6"/>
    <x v="2"/>
    <x v="14"/>
    <n v="641"/>
    <n v="4621"/>
    <n v="7328"/>
    <n v="9187"/>
    <n v="21777"/>
    <x v="9"/>
    <x v="315"/>
    <x v="7"/>
    <s v="UPI"/>
    <s v="Discharged"/>
    <n v="218"/>
    <s v="+91-8595859995"/>
  </r>
  <r>
    <x v="927"/>
    <x v="123"/>
    <n v="49"/>
    <x v="1"/>
    <s v="B+"/>
    <x v="1"/>
    <x v="4"/>
    <x v="5"/>
    <n v="944"/>
    <n v="4491"/>
    <n v="1927"/>
    <n v="13293"/>
    <n v="20655"/>
    <x v="116"/>
    <x v="219"/>
    <x v="1"/>
    <s v="Card"/>
    <s v="Under Treatment"/>
    <n v="912"/>
    <s v="+91-7296960465"/>
  </r>
  <r>
    <x v="928"/>
    <x v="356"/>
    <n v="19"/>
    <x v="0"/>
    <s v="B-"/>
    <x v="0"/>
    <x v="4"/>
    <x v="1"/>
    <n v="817"/>
    <n v="4487"/>
    <n v="3570"/>
    <n v="8640"/>
    <n v="17514"/>
    <x v="139"/>
    <x v="104"/>
    <x v="8"/>
    <s v="Card"/>
    <s v="Discharged"/>
    <n v="152"/>
    <s v="+91-7053838952"/>
  </r>
  <r>
    <x v="929"/>
    <x v="278"/>
    <n v="38"/>
    <x v="1"/>
    <s v="O+"/>
    <x v="2"/>
    <x v="1"/>
    <x v="2"/>
    <n v="1252"/>
    <n v="3666"/>
    <n v="7566"/>
    <n v="11705"/>
    <n v="24189"/>
    <x v="263"/>
    <x v="247"/>
    <x v="6"/>
    <s v="Insurance"/>
    <s v="Admitted"/>
    <n v="989"/>
    <s v="+91-9638587042"/>
  </r>
  <r>
    <x v="930"/>
    <x v="124"/>
    <n v="46"/>
    <x v="1"/>
    <s v="O+"/>
    <x v="0"/>
    <x v="5"/>
    <x v="9"/>
    <n v="1337"/>
    <n v="1859"/>
    <n v="390"/>
    <n v="2659"/>
    <n v="6245"/>
    <x v="240"/>
    <x v="299"/>
    <x v="3"/>
    <s v="Cash"/>
    <s v="Under Treatment"/>
    <n v="323"/>
    <s v="+91-8708726388"/>
  </r>
  <r>
    <x v="931"/>
    <x v="163"/>
    <n v="4"/>
    <x v="1"/>
    <s v="A-"/>
    <x v="5"/>
    <x v="4"/>
    <x v="13"/>
    <n v="1242"/>
    <n v="3342"/>
    <n v="5393"/>
    <n v="6350"/>
    <n v="16327"/>
    <x v="248"/>
    <x v="34"/>
    <x v="0"/>
    <s v="Insurance"/>
    <s v="Discharged"/>
    <n v="881"/>
    <s v="+91-8207491396"/>
  </r>
  <r>
    <x v="932"/>
    <x v="357"/>
    <n v="73"/>
    <x v="0"/>
    <s v="B+"/>
    <x v="3"/>
    <x v="6"/>
    <x v="8"/>
    <n v="976"/>
    <n v="4103"/>
    <n v="6292"/>
    <n v="12838"/>
    <n v="24209"/>
    <x v="36"/>
    <x v="331"/>
    <x v="9"/>
    <s v="Card"/>
    <s v="Admitted"/>
    <n v="731"/>
    <s v="+91-7648793017"/>
  </r>
  <r>
    <x v="933"/>
    <x v="198"/>
    <n v="29"/>
    <x v="0"/>
    <s v="B+"/>
    <x v="2"/>
    <x v="4"/>
    <x v="9"/>
    <n v="324"/>
    <n v="1589"/>
    <n v="1893"/>
    <n v="7854"/>
    <n v="11660"/>
    <x v="138"/>
    <x v="332"/>
    <x v="1"/>
    <s v="UPI"/>
    <s v="Admitted"/>
    <n v="100"/>
    <s v="+91-6284448229"/>
  </r>
  <r>
    <x v="934"/>
    <x v="277"/>
    <n v="34"/>
    <x v="1"/>
    <s v="AB-"/>
    <x v="4"/>
    <x v="6"/>
    <x v="3"/>
    <n v="1259"/>
    <n v="1856"/>
    <n v="7876"/>
    <n v="12020"/>
    <n v="23011"/>
    <x v="198"/>
    <x v="307"/>
    <x v="5"/>
    <s v="UPI"/>
    <s v="Under Treatment"/>
    <n v="845"/>
    <s v="+91-7598227684"/>
  </r>
  <r>
    <x v="935"/>
    <x v="358"/>
    <n v="74"/>
    <x v="1"/>
    <s v="AB+"/>
    <x v="1"/>
    <x v="4"/>
    <x v="0"/>
    <n v="1365"/>
    <n v="2785"/>
    <n v="6904"/>
    <n v="10729"/>
    <n v="21783"/>
    <x v="26"/>
    <x v="100"/>
    <x v="0"/>
    <s v="UPI"/>
    <s v="Discharged"/>
    <n v="621"/>
    <s v="+91-7290933796"/>
  </r>
  <r>
    <x v="936"/>
    <x v="337"/>
    <n v="7"/>
    <x v="1"/>
    <s v="B+"/>
    <x v="6"/>
    <x v="5"/>
    <x v="11"/>
    <n v="603"/>
    <n v="2331"/>
    <n v="7218"/>
    <n v="13836"/>
    <n v="23988"/>
    <x v="191"/>
    <x v="333"/>
    <x v="4"/>
    <s v="UPI"/>
    <s v="Discharged"/>
    <n v="860"/>
    <s v="+91-7717345701"/>
  </r>
  <r>
    <x v="937"/>
    <x v="257"/>
    <n v="43"/>
    <x v="1"/>
    <s v="AB+"/>
    <x v="4"/>
    <x v="4"/>
    <x v="3"/>
    <n v="632"/>
    <n v="4441"/>
    <n v="7905"/>
    <n v="11860"/>
    <n v="24838"/>
    <x v="224"/>
    <x v="97"/>
    <x v="0"/>
    <s v="Insurance"/>
    <s v="Admitted"/>
    <n v="524"/>
    <s v="+91-8032267443"/>
  </r>
  <r>
    <x v="938"/>
    <x v="345"/>
    <n v="48"/>
    <x v="0"/>
    <s v="AB+"/>
    <x v="6"/>
    <x v="6"/>
    <x v="3"/>
    <n v="1296"/>
    <n v="4529"/>
    <n v="7900"/>
    <n v="7493"/>
    <n v="21218"/>
    <x v="125"/>
    <x v="11"/>
    <x v="1"/>
    <s v="Card"/>
    <s v="Discharged"/>
    <n v="349"/>
    <s v="+91-8622389887"/>
  </r>
  <r>
    <x v="939"/>
    <x v="169"/>
    <n v="21"/>
    <x v="1"/>
    <s v="AB+"/>
    <x v="5"/>
    <x v="4"/>
    <x v="6"/>
    <n v="506"/>
    <n v="1172"/>
    <n v="974"/>
    <n v="14044"/>
    <n v="16696"/>
    <x v="135"/>
    <x v="211"/>
    <x v="3"/>
    <s v="Cash"/>
    <s v="Under Treatment"/>
    <n v="763"/>
    <s v="+91-6652352598"/>
  </r>
  <r>
    <x v="940"/>
    <x v="329"/>
    <n v="61"/>
    <x v="0"/>
    <s v="A-"/>
    <x v="2"/>
    <x v="5"/>
    <x v="0"/>
    <n v="896"/>
    <n v="3504"/>
    <n v="5860"/>
    <n v="12233"/>
    <n v="22493"/>
    <x v="171"/>
    <x v="266"/>
    <x v="6"/>
    <s v="Card"/>
    <s v="Discharged"/>
    <n v="438"/>
    <s v="+91-6429373521"/>
  </r>
  <r>
    <x v="941"/>
    <x v="359"/>
    <n v="11"/>
    <x v="0"/>
    <s v="O+"/>
    <x v="2"/>
    <x v="2"/>
    <x v="4"/>
    <n v="648"/>
    <n v="3701"/>
    <n v="7051"/>
    <n v="9034"/>
    <n v="20434"/>
    <x v="285"/>
    <x v="331"/>
    <x v="6"/>
    <s v="Cash"/>
    <s v="Under Treatment"/>
    <n v="391"/>
    <s v="+91-6595351227"/>
  </r>
  <r>
    <x v="942"/>
    <x v="91"/>
    <n v="78"/>
    <x v="1"/>
    <s v="B+"/>
    <x v="3"/>
    <x v="3"/>
    <x v="11"/>
    <n v="1316"/>
    <n v="2333"/>
    <n v="5944"/>
    <n v="5648"/>
    <n v="15241"/>
    <x v="88"/>
    <x v="279"/>
    <x v="8"/>
    <s v="Insurance"/>
    <s v="Discharged"/>
    <n v="467"/>
    <s v="+91-8185605263"/>
  </r>
  <r>
    <x v="943"/>
    <x v="93"/>
    <n v="84"/>
    <x v="1"/>
    <s v="A+"/>
    <x v="5"/>
    <x v="5"/>
    <x v="3"/>
    <n v="933"/>
    <n v="3175"/>
    <n v="2024"/>
    <n v="4943"/>
    <n v="11075"/>
    <x v="48"/>
    <x v="211"/>
    <x v="9"/>
    <s v="Cash"/>
    <s v="Under Treatment"/>
    <n v="996"/>
    <s v="+91-6505595570"/>
  </r>
  <r>
    <x v="944"/>
    <x v="278"/>
    <n v="58"/>
    <x v="0"/>
    <s v="AB+"/>
    <x v="3"/>
    <x v="4"/>
    <x v="6"/>
    <n v="878"/>
    <n v="3225"/>
    <n v="5933"/>
    <n v="6242"/>
    <n v="16278"/>
    <x v="318"/>
    <x v="44"/>
    <x v="4"/>
    <s v="Cash"/>
    <s v="Under Treatment"/>
    <n v="784"/>
    <s v="+91-8884674801"/>
  </r>
  <r>
    <x v="945"/>
    <x v="360"/>
    <n v="39"/>
    <x v="0"/>
    <s v="A+"/>
    <x v="7"/>
    <x v="6"/>
    <x v="12"/>
    <n v="1045"/>
    <n v="1782"/>
    <n v="3501"/>
    <n v="4137"/>
    <n v="10465"/>
    <x v="149"/>
    <x v="334"/>
    <x v="0"/>
    <s v="UPI"/>
    <s v="Discharged"/>
    <n v="291"/>
    <s v="+91-9489741721"/>
  </r>
  <r>
    <x v="946"/>
    <x v="66"/>
    <n v="85"/>
    <x v="1"/>
    <s v="B+"/>
    <x v="1"/>
    <x v="5"/>
    <x v="1"/>
    <n v="572"/>
    <n v="3178"/>
    <n v="6405"/>
    <n v="12589"/>
    <n v="22744"/>
    <x v="0"/>
    <x v="216"/>
    <x v="8"/>
    <s v="Card"/>
    <s v="Discharged"/>
    <n v="525"/>
    <s v="+91-6400361105"/>
  </r>
  <r>
    <x v="947"/>
    <x v="116"/>
    <n v="19"/>
    <x v="0"/>
    <s v="A+"/>
    <x v="3"/>
    <x v="3"/>
    <x v="3"/>
    <n v="1350"/>
    <n v="4557"/>
    <n v="2576"/>
    <n v="4313"/>
    <n v="12796"/>
    <x v="199"/>
    <x v="165"/>
    <x v="0"/>
    <s v="UPI"/>
    <s v="Under Treatment"/>
    <n v="451"/>
    <s v="+91-9436869858"/>
  </r>
  <r>
    <x v="948"/>
    <x v="330"/>
    <n v="44"/>
    <x v="0"/>
    <s v="O+"/>
    <x v="4"/>
    <x v="2"/>
    <x v="15"/>
    <n v="1326"/>
    <n v="2152"/>
    <n v="2029"/>
    <n v="3421"/>
    <n v="8928"/>
    <x v="21"/>
    <x v="158"/>
    <x v="3"/>
    <s v="Insurance"/>
    <s v="Under Treatment"/>
    <n v="704"/>
    <s v="+91-8630511914"/>
  </r>
  <r>
    <x v="949"/>
    <x v="318"/>
    <n v="56"/>
    <x v="0"/>
    <s v="A-"/>
    <x v="7"/>
    <x v="4"/>
    <x v="9"/>
    <n v="1403"/>
    <n v="4239"/>
    <n v="664"/>
    <n v="5661"/>
    <n v="11967"/>
    <x v="21"/>
    <x v="280"/>
    <x v="1"/>
    <s v="Insurance"/>
    <s v="Discharged"/>
    <n v="723"/>
    <s v="+91-8456281720"/>
  </r>
  <r>
    <x v="950"/>
    <x v="209"/>
    <n v="76"/>
    <x v="0"/>
    <s v="AB+"/>
    <x v="7"/>
    <x v="1"/>
    <x v="10"/>
    <n v="914"/>
    <n v="817"/>
    <n v="6990"/>
    <n v="4759"/>
    <n v="13480"/>
    <x v="337"/>
    <x v="181"/>
    <x v="2"/>
    <s v="Cash"/>
    <s v="Under Treatment"/>
    <n v="334"/>
    <s v="+91-6174135798"/>
  </r>
  <r>
    <x v="951"/>
    <x v="244"/>
    <n v="31"/>
    <x v="1"/>
    <s v="AB+"/>
    <x v="2"/>
    <x v="5"/>
    <x v="14"/>
    <n v="397"/>
    <n v="1123"/>
    <n v="6873"/>
    <n v="14161"/>
    <n v="22554"/>
    <x v="231"/>
    <x v="138"/>
    <x v="3"/>
    <s v="UPI"/>
    <s v="Under Treatment"/>
    <n v="779"/>
    <s v="+91-6219883835"/>
  </r>
  <r>
    <x v="952"/>
    <x v="164"/>
    <n v="28"/>
    <x v="1"/>
    <s v="AB+"/>
    <x v="4"/>
    <x v="5"/>
    <x v="3"/>
    <n v="1096"/>
    <n v="3191"/>
    <n v="1751"/>
    <n v="9930"/>
    <n v="15968"/>
    <x v="72"/>
    <x v="86"/>
    <x v="0"/>
    <s v="UPI"/>
    <s v="Under Treatment"/>
    <n v="351"/>
    <s v="+91-8061002426"/>
  </r>
  <r>
    <x v="953"/>
    <x v="175"/>
    <n v="17"/>
    <x v="1"/>
    <s v="A-"/>
    <x v="3"/>
    <x v="6"/>
    <x v="9"/>
    <n v="826"/>
    <n v="3904"/>
    <n v="1625"/>
    <n v="7986"/>
    <n v="14341"/>
    <x v="19"/>
    <x v="197"/>
    <x v="8"/>
    <s v="UPI"/>
    <s v="Discharged"/>
    <n v="655"/>
    <s v="+91-8970216817"/>
  </r>
  <r>
    <x v="954"/>
    <x v="201"/>
    <n v="10"/>
    <x v="0"/>
    <s v="AB-"/>
    <x v="4"/>
    <x v="1"/>
    <x v="5"/>
    <n v="790"/>
    <n v="1040"/>
    <n v="6678"/>
    <n v="13621"/>
    <n v="22129"/>
    <x v="316"/>
    <x v="118"/>
    <x v="5"/>
    <s v="Cash"/>
    <s v="Under Treatment"/>
    <n v="884"/>
    <s v="+91-9587119298"/>
  </r>
  <r>
    <x v="955"/>
    <x v="147"/>
    <n v="66"/>
    <x v="0"/>
    <s v="B-"/>
    <x v="7"/>
    <x v="2"/>
    <x v="10"/>
    <n v="470"/>
    <n v="3418"/>
    <n v="6763"/>
    <n v="2507"/>
    <n v="13158"/>
    <x v="117"/>
    <x v="250"/>
    <x v="1"/>
    <s v="UPI"/>
    <s v="Under Treatment"/>
    <n v="118"/>
    <s v="+91-9912371306"/>
  </r>
  <r>
    <x v="956"/>
    <x v="107"/>
    <n v="9"/>
    <x v="0"/>
    <s v="O-"/>
    <x v="3"/>
    <x v="5"/>
    <x v="13"/>
    <n v="628"/>
    <n v="4776"/>
    <n v="6978"/>
    <n v="12297"/>
    <n v="24679"/>
    <x v="338"/>
    <x v="332"/>
    <x v="4"/>
    <s v="UPI"/>
    <s v="Discharged"/>
    <n v="911"/>
    <s v="+91-9250243636"/>
  </r>
  <r>
    <x v="957"/>
    <x v="53"/>
    <n v="66"/>
    <x v="1"/>
    <s v="AB-"/>
    <x v="0"/>
    <x v="2"/>
    <x v="7"/>
    <n v="689"/>
    <n v="4460"/>
    <n v="6636"/>
    <n v="10606"/>
    <n v="22391"/>
    <x v="150"/>
    <x v="324"/>
    <x v="7"/>
    <s v="Insurance"/>
    <s v="Discharged"/>
    <n v="429"/>
    <s v="+91-8759634111"/>
  </r>
  <r>
    <x v="958"/>
    <x v="347"/>
    <n v="6"/>
    <x v="0"/>
    <s v="AB+"/>
    <x v="7"/>
    <x v="3"/>
    <x v="4"/>
    <n v="307"/>
    <n v="3411"/>
    <n v="440"/>
    <n v="11888"/>
    <n v="16046"/>
    <x v="65"/>
    <x v="33"/>
    <x v="8"/>
    <s v="Cash"/>
    <s v="Discharged"/>
    <n v="982"/>
    <s v="+91-7990636931"/>
  </r>
  <r>
    <x v="959"/>
    <x v="70"/>
    <n v="13"/>
    <x v="0"/>
    <s v="B-"/>
    <x v="3"/>
    <x v="1"/>
    <x v="15"/>
    <n v="1312"/>
    <n v="3291"/>
    <n v="1281"/>
    <n v="11239"/>
    <n v="17123"/>
    <x v="88"/>
    <x v="304"/>
    <x v="8"/>
    <s v="Insurance"/>
    <s v="Discharged"/>
    <n v="139"/>
    <s v="+91-9687903383"/>
  </r>
  <r>
    <x v="960"/>
    <x v="177"/>
    <n v="39"/>
    <x v="0"/>
    <s v="O-"/>
    <x v="6"/>
    <x v="5"/>
    <x v="8"/>
    <n v="613"/>
    <n v="2799"/>
    <n v="3084"/>
    <n v="14922"/>
    <n v="21418"/>
    <x v="158"/>
    <x v="73"/>
    <x v="3"/>
    <s v="Insurance"/>
    <s v="Discharged"/>
    <n v="856"/>
    <s v="+91-7287717677"/>
  </r>
  <r>
    <x v="961"/>
    <x v="321"/>
    <n v="4"/>
    <x v="1"/>
    <s v="O-"/>
    <x v="1"/>
    <x v="5"/>
    <x v="7"/>
    <n v="490"/>
    <n v="1625"/>
    <n v="7930"/>
    <n v="9600"/>
    <n v="19645"/>
    <x v="151"/>
    <x v="225"/>
    <x v="5"/>
    <s v="Cash"/>
    <s v="Discharged"/>
    <n v="886"/>
    <s v="+91-7433596339"/>
  </r>
  <r>
    <x v="962"/>
    <x v="25"/>
    <n v="24"/>
    <x v="0"/>
    <s v="O+"/>
    <x v="4"/>
    <x v="2"/>
    <x v="3"/>
    <n v="400"/>
    <n v="2765"/>
    <n v="2851"/>
    <n v="14786"/>
    <n v="20802"/>
    <x v="148"/>
    <x v="52"/>
    <x v="5"/>
    <s v="UPI"/>
    <s v="Admitted"/>
    <n v="513"/>
    <s v="+91-9231112164"/>
  </r>
  <r>
    <x v="963"/>
    <x v="158"/>
    <n v="54"/>
    <x v="0"/>
    <s v="AB-"/>
    <x v="1"/>
    <x v="5"/>
    <x v="10"/>
    <n v="406"/>
    <n v="1621"/>
    <n v="863"/>
    <n v="2545"/>
    <n v="5435"/>
    <x v="125"/>
    <x v="289"/>
    <x v="5"/>
    <s v="Insurance"/>
    <s v="Discharged"/>
    <n v="515"/>
    <s v="+91-8327719428"/>
  </r>
  <r>
    <x v="964"/>
    <x v="361"/>
    <n v="21"/>
    <x v="0"/>
    <s v="AB-"/>
    <x v="4"/>
    <x v="0"/>
    <x v="13"/>
    <n v="644"/>
    <n v="2016"/>
    <n v="5612"/>
    <n v="10322"/>
    <n v="18594"/>
    <x v="171"/>
    <x v="335"/>
    <x v="0"/>
    <s v="Card"/>
    <s v="Admitted"/>
    <n v="855"/>
    <s v="+91-9531217459"/>
  </r>
  <r>
    <x v="965"/>
    <x v="152"/>
    <n v="53"/>
    <x v="0"/>
    <s v="AB+"/>
    <x v="6"/>
    <x v="0"/>
    <x v="4"/>
    <n v="1308"/>
    <n v="4985"/>
    <n v="2248"/>
    <n v="1972"/>
    <n v="10513"/>
    <x v="234"/>
    <x v="70"/>
    <x v="6"/>
    <s v="UPI"/>
    <s v="Discharged"/>
    <n v="239"/>
    <s v="+91-7737402719"/>
  </r>
  <r>
    <x v="966"/>
    <x v="42"/>
    <n v="75"/>
    <x v="1"/>
    <s v="A-"/>
    <x v="6"/>
    <x v="4"/>
    <x v="3"/>
    <n v="555"/>
    <n v="3942"/>
    <n v="2388"/>
    <n v="11622"/>
    <n v="18507"/>
    <x v="159"/>
    <x v="146"/>
    <x v="0"/>
    <s v="Card"/>
    <s v="Under Treatment"/>
    <n v="359"/>
    <s v="+91-8969110738"/>
  </r>
  <r>
    <x v="967"/>
    <x v="138"/>
    <n v="24"/>
    <x v="0"/>
    <s v="B+"/>
    <x v="0"/>
    <x v="0"/>
    <x v="0"/>
    <n v="382"/>
    <n v="2391"/>
    <n v="2347"/>
    <n v="13204"/>
    <n v="18324"/>
    <x v="142"/>
    <x v="336"/>
    <x v="1"/>
    <s v="UPI"/>
    <s v="Admitted"/>
    <n v="688"/>
    <s v="+91-6012101775"/>
  </r>
  <r>
    <x v="968"/>
    <x v="252"/>
    <n v="2"/>
    <x v="1"/>
    <s v="O-"/>
    <x v="4"/>
    <x v="4"/>
    <x v="13"/>
    <n v="722"/>
    <n v="4162"/>
    <n v="1482"/>
    <n v="3408"/>
    <n v="9774"/>
    <x v="324"/>
    <x v="2"/>
    <x v="8"/>
    <s v="Insurance"/>
    <s v="Under Treatment"/>
    <n v="631"/>
    <s v="+91-8921928641"/>
  </r>
  <r>
    <x v="969"/>
    <x v="205"/>
    <n v="85"/>
    <x v="0"/>
    <s v="AB-"/>
    <x v="3"/>
    <x v="1"/>
    <x v="4"/>
    <n v="1097"/>
    <n v="3393"/>
    <n v="1840"/>
    <n v="11909"/>
    <n v="18239"/>
    <x v="170"/>
    <x v="39"/>
    <x v="4"/>
    <s v="Insurance"/>
    <s v="Admitted"/>
    <n v="358"/>
    <s v="+91-6013131418"/>
  </r>
  <r>
    <x v="970"/>
    <x v="285"/>
    <n v="21"/>
    <x v="0"/>
    <s v="O+"/>
    <x v="2"/>
    <x v="1"/>
    <x v="1"/>
    <n v="1373"/>
    <n v="2868"/>
    <n v="1969"/>
    <n v="7773"/>
    <n v="13983"/>
    <x v="241"/>
    <x v="129"/>
    <x v="9"/>
    <s v="Card"/>
    <s v="Discharged"/>
    <n v="887"/>
    <s v="+91-6059131465"/>
  </r>
  <r>
    <x v="971"/>
    <x v="253"/>
    <n v="9"/>
    <x v="1"/>
    <s v="O+"/>
    <x v="1"/>
    <x v="0"/>
    <x v="9"/>
    <n v="759"/>
    <n v="4181"/>
    <n v="1945"/>
    <n v="12279"/>
    <n v="19164"/>
    <x v="157"/>
    <x v="240"/>
    <x v="1"/>
    <s v="Insurance"/>
    <s v="Admitted"/>
    <n v="548"/>
    <s v="+91-9886114514"/>
  </r>
  <r>
    <x v="972"/>
    <x v="265"/>
    <n v="31"/>
    <x v="1"/>
    <s v="O+"/>
    <x v="5"/>
    <x v="3"/>
    <x v="3"/>
    <n v="1429"/>
    <n v="4675"/>
    <n v="5558"/>
    <n v="3370"/>
    <n v="15032"/>
    <x v="241"/>
    <x v="155"/>
    <x v="8"/>
    <s v="Cash"/>
    <s v="Discharged"/>
    <n v="982"/>
    <s v="+91-8827350430"/>
  </r>
  <r>
    <x v="973"/>
    <x v="264"/>
    <n v="52"/>
    <x v="0"/>
    <s v="B+"/>
    <x v="4"/>
    <x v="3"/>
    <x v="11"/>
    <n v="794"/>
    <n v="2816"/>
    <n v="2365"/>
    <n v="14266"/>
    <n v="20241"/>
    <x v="26"/>
    <x v="337"/>
    <x v="3"/>
    <s v="Insurance"/>
    <s v="Under Treatment"/>
    <n v="103"/>
    <s v="+91-6640363738"/>
  </r>
  <r>
    <x v="974"/>
    <x v="345"/>
    <n v="71"/>
    <x v="1"/>
    <s v="O+"/>
    <x v="1"/>
    <x v="2"/>
    <x v="5"/>
    <n v="1285"/>
    <n v="2084"/>
    <n v="1834"/>
    <n v="2777"/>
    <n v="7980"/>
    <x v="184"/>
    <x v="195"/>
    <x v="2"/>
    <s v="Card"/>
    <s v="Under Treatment"/>
    <n v="511"/>
    <s v="+91-8876924899"/>
  </r>
  <r>
    <x v="975"/>
    <x v="218"/>
    <n v="73"/>
    <x v="1"/>
    <s v="O-"/>
    <x v="4"/>
    <x v="4"/>
    <x v="8"/>
    <n v="1266"/>
    <n v="2107"/>
    <n v="7592"/>
    <n v="5012"/>
    <n v="15977"/>
    <x v="339"/>
    <x v="338"/>
    <x v="8"/>
    <s v="Card"/>
    <s v="Under Treatment"/>
    <n v="441"/>
    <s v="+91-8118065477"/>
  </r>
  <r>
    <x v="976"/>
    <x v="362"/>
    <n v="72"/>
    <x v="0"/>
    <s v="AB+"/>
    <x v="4"/>
    <x v="2"/>
    <x v="11"/>
    <n v="1457"/>
    <n v="1622"/>
    <n v="2194"/>
    <n v="7729"/>
    <n v="13002"/>
    <x v="84"/>
    <x v="305"/>
    <x v="4"/>
    <s v="Cash"/>
    <s v="Admitted"/>
    <n v="797"/>
    <s v="+91-8356081869"/>
  </r>
  <r>
    <x v="977"/>
    <x v="363"/>
    <n v="29"/>
    <x v="0"/>
    <s v="O+"/>
    <x v="0"/>
    <x v="3"/>
    <x v="2"/>
    <n v="498"/>
    <n v="799"/>
    <n v="2400"/>
    <n v="1191"/>
    <n v="4888"/>
    <x v="195"/>
    <x v="326"/>
    <x v="5"/>
    <s v="Insurance"/>
    <s v="Admitted"/>
    <n v="195"/>
    <s v="+91-7463786185"/>
  </r>
  <r>
    <x v="978"/>
    <x v="115"/>
    <n v="16"/>
    <x v="0"/>
    <s v="AB-"/>
    <x v="6"/>
    <x v="6"/>
    <x v="3"/>
    <n v="390"/>
    <n v="4399"/>
    <n v="5944"/>
    <n v="5539"/>
    <n v="16272"/>
    <x v="203"/>
    <x v="300"/>
    <x v="0"/>
    <s v="Card"/>
    <s v="Discharged"/>
    <n v="438"/>
    <s v="+91-6429898519"/>
  </r>
  <r>
    <x v="979"/>
    <x v="194"/>
    <n v="75"/>
    <x v="0"/>
    <s v="A+"/>
    <x v="6"/>
    <x v="3"/>
    <x v="5"/>
    <n v="1174"/>
    <n v="3358"/>
    <n v="7956"/>
    <n v="6847"/>
    <n v="19335"/>
    <x v="90"/>
    <x v="128"/>
    <x v="9"/>
    <s v="Cash"/>
    <s v="Under Treatment"/>
    <n v="685"/>
    <s v="+91-6091746499"/>
  </r>
  <r>
    <x v="980"/>
    <x v="309"/>
    <n v="23"/>
    <x v="0"/>
    <s v="AB-"/>
    <x v="0"/>
    <x v="5"/>
    <x v="12"/>
    <n v="667"/>
    <n v="2104"/>
    <n v="7077"/>
    <n v="4425"/>
    <n v="14273"/>
    <x v="98"/>
    <x v="184"/>
    <x v="2"/>
    <s v="Insurance"/>
    <s v="Admitted"/>
    <n v="733"/>
    <s v="+91-6577737703"/>
  </r>
  <r>
    <x v="981"/>
    <x v="350"/>
    <n v="27"/>
    <x v="1"/>
    <s v="B+"/>
    <x v="6"/>
    <x v="1"/>
    <x v="14"/>
    <n v="615"/>
    <n v="1018"/>
    <n v="7129"/>
    <n v="3606"/>
    <n v="12368"/>
    <x v="230"/>
    <x v="323"/>
    <x v="0"/>
    <s v="Cash"/>
    <s v="Under Treatment"/>
    <n v="279"/>
    <s v="+91-8939645886"/>
  </r>
  <r>
    <x v="982"/>
    <x v="53"/>
    <n v="11"/>
    <x v="0"/>
    <s v="O+"/>
    <x v="0"/>
    <x v="3"/>
    <x v="6"/>
    <n v="614"/>
    <n v="3900"/>
    <n v="1188"/>
    <n v="8120"/>
    <n v="13822"/>
    <x v="329"/>
    <x v="320"/>
    <x v="9"/>
    <s v="UPI"/>
    <s v="Discharged"/>
    <n v="261"/>
    <s v="+91-9559563832"/>
  </r>
  <r>
    <x v="983"/>
    <x v="323"/>
    <n v="85"/>
    <x v="0"/>
    <s v="A+"/>
    <x v="7"/>
    <x v="0"/>
    <x v="14"/>
    <n v="652"/>
    <n v="4146"/>
    <n v="2587"/>
    <n v="6172"/>
    <n v="13557"/>
    <x v="32"/>
    <x v="43"/>
    <x v="7"/>
    <s v="Insurance"/>
    <s v="Discharged"/>
    <n v="484"/>
    <s v="+91-9318111626"/>
  </r>
  <r>
    <x v="984"/>
    <x v="147"/>
    <n v="12"/>
    <x v="0"/>
    <s v="B+"/>
    <x v="3"/>
    <x v="5"/>
    <x v="12"/>
    <n v="770"/>
    <n v="4870"/>
    <n v="7321"/>
    <n v="2854"/>
    <n v="15815"/>
    <x v="323"/>
    <x v="147"/>
    <x v="1"/>
    <s v="Card"/>
    <s v="Under Treatment"/>
    <n v="996"/>
    <s v="+91-6995575263"/>
  </r>
  <r>
    <x v="985"/>
    <x v="74"/>
    <n v="7"/>
    <x v="0"/>
    <s v="B+"/>
    <x v="0"/>
    <x v="6"/>
    <x v="6"/>
    <n v="994"/>
    <n v="4801"/>
    <n v="4703"/>
    <n v="2532"/>
    <n v="13030"/>
    <x v="164"/>
    <x v="113"/>
    <x v="8"/>
    <s v="Card"/>
    <s v="Admitted"/>
    <n v="537"/>
    <s v="+91-8106717317"/>
  </r>
  <r>
    <x v="986"/>
    <x v="303"/>
    <n v="29"/>
    <x v="0"/>
    <s v="AB-"/>
    <x v="3"/>
    <x v="0"/>
    <x v="1"/>
    <n v="446"/>
    <n v="3958"/>
    <n v="6205"/>
    <n v="11385"/>
    <n v="21994"/>
    <x v="211"/>
    <x v="263"/>
    <x v="8"/>
    <s v="UPI"/>
    <s v="Discharged"/>
    <n v="130"/>
    <s v="+91-6142189696"/>
  </r>
  <r>
    <x v="987"/>
    <x v="111"/>
    <n v="4"/>
    <x v="0"/>
    <s v="AB-"/>
    <x v="4"/>
    <x v="6"/>
    <x v="13"/>
    <n v="637"/>
    <n v="1164"/>
    <n v="976"/>
    <n v="12271"/>
    <n v="15048"/>
    <x v="298"/>
    <x v="66"/>
    <x v="5"/>
    <s v="UPI"/>
    <s v="Admitted"/>
    <n v="906"/>
    <s v="+91-8709463062"/>
  </r>
  <r>
    <x v="988"/>
    <x v="220"/>
    <n v="20"/>
    <x v="1"/>
    <s v="A-"/>
    <x v="1"/>
    <x v="2"/>
    <x v="8"/>
    <n v="535"/>
    <n v="4628"/>
    <n v="5588"/>
    <n v="5749"/>
    <n v="16500"/>
    <x v="123"/>
    <x v="113"/>
    <x v="9"/>
    <s v="Card"/>
    <s v="Under Treatment"/>
    <n v="784"/>
    <s v="+91-8475554753"/>
  </r>
  <r>
    <x v="989"/>
    <x v="15"/>
    <n v="37"/>
    <x v="1"/>
    <s v="AB-"/>
    <x v="4"/>
    <x v="5"/>
    <x v="0"/>
    <n v="659"/>
    <n v="2867"/>
    <n v="4407"/>
    <n v="11185"/>
    <n v="19118"/>
    <x v="69"/>
    <x v="97"/>
    <x v="1"/>
    <s v="Insurance"/>
    <s v="Discharged"/>
    <n v="126"/>
    <s v="+91-6189607394"/>
  </r>
  <r>
    <x v="990"/>
    <x v="71"/>
    <n v="1"/>
    <x v="1"/>
    <s v="B+"/>
    <x v="0"/>
    <x v="4"/>
    <x v="8"/>
    <n v="1007"/>
    <n v="3297"/>
    <n v="1026"/>
    <n v="6922"/>
    <n v="12252"/>
    <x v="38"/>
    <x v="74"/>
    <x v="3"/>
    <s v="Insurance"/>
    <s v="Under Treatment"/>
    <n v="225"/>
    <s v="+91-7012760926"/>
  </r>
  <r>
    <x v="991"/>
    <x v="364"/>
    <n v="35"/>
    <x v="0"/>
    <s v="A+"/>
    <x v="1"/>
    <x v="2"/>
    <x v="2"/>
    <n v="400"/>
    <n v="3499"/>
    <n v="2840"/>
    <n v="14460"/>
    <n v="21199"/>
    <x v="283"/>
    <x v="46"/>
    <x v="1"/>
    <s v="Cash"/>
    <s v="Under Treatment"/>
    <n v="581"/>
    <s v="+91-6227790987"/>
  </r>
  <r>
    <x v="992"/>
    <x v="12"/>
    <n v="31"/>
    <x v="1"/>
    <s v="A+"/>
    <x v="7"/>
    <x v="5"/>
    <x v="2"/>
    <n v="334"/>
    <n v="4807"/>
    <n v="1813"/>
    <n v="3060"/>
    <n v="10014"/>
    <x v="224"/>
    <x v="275"/>
    <x v="2"/>
    <s v="Insurance"/>
    <s v="Discharged"/>
    <n v="954"/>
    <s v="+91-8270215803"/>
  </r>
  <r>
    <x v="993"/>
    <x v="150"/>
    <n v="68"/>
    <x v="0"/>
    <s v="AB+"/>
    <x v="6"/>
    <x v="3"/>
    <x v="10"/>
    <n v="663"/>
    <n v="4984"/>
    <n v="4180"/>
    <n v="9166"/>
    <n v="18993"/>
    <x v="153"/>
    <x v="312"/>
    <x v="7"/>
    <s v="Card"/>
    <s v="Under Treatment"/>
    <n v="763"/>
    <s v="+91-6275590556"/>
  </r>
  <r>
    <x v="994"/>
    <x v="34"/>
    <n v="32"/>
    <x v="0"/>
    <s v="AB+"/>
    <x v="4"/>
    <x v="1"/>
    <x v="0"/>
    <n v="1119"/>
    <n v="2917"/>
    <n v="6247"/>
    <n v="3799"/>
    <n v="14082"/>
    <x v="75"/>
    <x v="210"/>
    <x v="2"/>
    <s v="Card"/>
    <s v="Admitted"/>
    <n v="348"/>
    <s v="+91-9777192309"/>
  </r>
  <r>
    <x v="995"/>
    <x v="364"/>
    <n v="48"/>
    <x v="1"/>
    <s v="AB+"/>
    <x v="0"/>
    <x v="0"/>
    <x v="11"/>
    <n v="934"/>
    <n v="2563"/>
    <n v="973"/>
    <n v="8568"/>
    <n v="13038"/>
    <x v="16"/>
    <x v="14"/>
    <x v="2"/>
    <s v="UPI"/>
    <s v="Discharged"/>
    <n v="875"/>
    <s v="+91-7248168573"/>
  </r>
  <r>
    <x v="996"/>
    <x v="102"/>
    <n v="52"/>
    <x v="0"/>
    <s v="AB-"/>
    <x v="1"/>
    <x v="4"/>
    <x v="13"/>
    <n v="1413"/>
    <n v="2031"/>
    <n v="2707"/>
    <n v="4140"/>
    <n v="10291"/>
    <x v="304"/>
    <x v="337"/>
    <x v="5"/>
    <s v="UPI"/>
    <s v="Discharged"/>
    <n v="911"/>
    <s v="+91-7201678766"/>
  </r>
  <r>
    <x v="997"/>
    <x v="338"/>
    <n v="74"/>
    <x v="0"/>
    <s v="O+"/>
    <x v="0"/>
    <x v="1"/>
    <x v="11"/>
    <n v="1054"/>
    <n v="2477"/>
    <n v="4855"/>
    <n v="12426"/>
    <n v="20812"/>
    <x v="243"/>
    <x v="28"/>
    <x v="9"/>
    <s v="Card"/>
    <s v="Discharged"/>
    <n v="724"/>
    <s v="+91-9572353496"/>
  </r>
  <r>
    <x v="998"/>
    <x v="5"/>
    <n v="5"/>
    <x v="1"/>
    <s v="O+"/>
    <x v="2"/>
    <x v="2"/>
    <x v="9"/>
    <n v="789"/>
    <n v="2176"/>
    <n v="7807"/>
    <n v="4541"/>
    <n v="15313"/>
    <x v="200"/>
    <x v="318"/>
    <x v="7"/>
    <s v="UPI"/>
    <s v="Under Treatment"/>
    <n v="225"/>
    <s v="+91-7695309474"/>
  </r>
  <r>
    <x v="999"/>
    <x v="148"/>
    <n v="14"/>
    <x v="0"/>
    <s v="B-"/>
    <x v="4"/>
    <x v="0"/>
    <x v="1"/>
    <n v="1377"/>
    <n v="4321"/>
    <n v="6208"/>
    <n v="13900"/>
    <n v="25806"/>
    <x v="93"/>
    <x v="302"/>
    <x v="0"/>
    <s v="Cash"/>
    <s v="Under Treatment"/>
    <n v="795"/>
    <s v="+91-68503612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32E36-950C-4085-9998-03E7E19F91B3}" name="PivotTable15"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3">
  <location ref="A185:A186" firstHeaderRow="1" firstDataRow="1" firstDataCol="0"/>
  <pivotFields count="22">
    <pivotField showAll="0"/>
    <pivotField showAll="0"/>
    <pivotField showAll="0"/>
    <pivotField showAll="0">
      <items count="3">
        <item x="1"/>
        <item x="0"/>
        <item t="default"/>
      </items>
    </pivotField>
    <pivotField showAll="0"/>
    <pivotField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Total_Fees" fld="12" baseField="0" baseItem="0"/>
  </dataField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717241-D99D-4811-B9C7-EF2202A94621}" name="PivotTable14"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3">
  <location ref="A172:B183" firstHeaderRow="1" firstDataRow="1" firstDataCol="1"/>
  <pivotFields count="22">
    <pivotField showAll="0"/>
    <pivotField showAll="0"/>
    <pivotField showAll="0"/>
    <pivotField showAll="0">
      <items count="3">
        <item x="1"/>
        <item x="0"/>
        <item t="default"/>
      </items>
    </pivotField>
    <pivotField showAll="0"/>
    <pivotField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axis="axisRow"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5"/>
  </rowFields>
  <rowItems count="11">
    <i>
      <x/>
    </i>
    <i>
      <x v="1"/>
    </i>
    <i>
      <x v="2"/>
    </i>
    <i>
      <x v="3"/>
    </i>
    <i>
      <x v="4"/>
    </i>
    <i>
      <x v="5"/>
    </i>
    <i>
      <x v="6"/>
    </i>
    <i>
      <x v="7"/>
    </i>
    <i>
      <x v="8"/>
    </i>
    <i>
      <x v="9"/>
    </i>
    <i t="grand">
      <x/>
    </i>
  </rowItems>
  <colItems count="1">
    <i/>
  </colItems>
  <dataFields count="1">
    <dataField name="Sum of Total_Fees" fld="12" baseField="0" baseItem="0"/>
  </dataFields>
  <chartFormats count="5">
    <chartFormat chart="73" format="0" series="1">
      <pivotArea type="data" outline="0" fieldPosition="0">
        <references count="1">
          <reference field="4294967294" count="1" selected="0">
            <x v="0"/>
          </reference>
        </references>
      </pivotArea>
    </chartFormat>
    <chartFormat chart="77" format="14"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0"/>
          </reference>
        </references>
      </pivotArea>
    </chartFormat>
    <chartFormat chart="8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2930E-6F96-4FE9-BF96-FFFF8C53A472}" name="PivotTable13"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8">
  <location ref="A159:B168" firstHeaderRow="1" firstDataRow="1" firstDataCol="1"/>
  <pivotFields count="22">
    <pivotField showAll="0"/>
    <pivotField showAll="0"/>
    <pivotField showAll="0"/>
    <pivotField showAll="0">
      <items count="3">
        <item x="1"/>
        <item x="0"/>
        <item t="default"/>
      </items>
    </pivotField>
    <pivotField showAll="0"/>
    <pivotField axis="axisRow"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9">
    <i>
      <x/>
    </i>
    <i>
      <x v="1"/>
    </i>
    <i>
      <x v="2"/>
    </i>
    <i>
      <x v="3"/>
    </i>
    <i>
      <x v="4"/>
    </i>
    <i>
      <x v="5"/>
    </i>
    <i>
      <x v="6"/>
    </i>
    <i>
      <x v="7"/>
    </i>
    <i t="grand">
      <x/>
    </i>
  </rowItems>
  <colItems count="1">
    <i/>
  </colItems>
  <dataFields count="1">
    <dataField name="Sum of Total_Fees" fld="12" baseField="0" baseItem="0" numFmtId="10">
      <extLst>
        <ext xmlns:x14="http://schemas.microsoft.com/office/spreadsheetml/2009/9/main" uri="{E15A36E0-9728-4e99-A89B-3F7291B0FE68}">
          <x14:dataField pivotShowAs="percentOfParentRow"/>
        </ext>
      </extLst>
    </dataField>
  </dataFields>
  <chartFormats count="9">
    <chartFormat chart="77" format="14" series="1">
      <pivotArea type="data" outline="0" fieldPosition="0">
        <references count="1">
          <reference field="4294967294" count="1" selected="0">
            <x v="0"/>
          </reference>
        </references>
      </pivotArea>
    </chartFormat>
    <chartFormat chart="77" format="15">
      <pivotArea type="data" outline="0" fieldPosition="0">
        <references count="2">
          <reference field="4294967294" count="1" selected="0">
            <x v="0"/>
          </reference>
          <reference field="5" count="1" selected="0">
            <x v="0"/>
          </reference>
        </references>
      </pivotArea>
    </chartFormat>
    <chartFormat chart="77" format="16">
      <pivotArea type="data" outline="0" fieldPosition="0">
        <references count="2">
          <reference field="4294967294" count="1" selected="0">
            <x v="0"/>
          </reference>
          <reference field="5" count="1" selected="0">
            <x v="1"/>
          </reference>
        </references>
      </pivotArea>
    </chartFormat>
    <chartFormat chart="77" format="17">
      <pivotArea type="data" outline="0" fieldPosition="0">
        <references count="2">
          <reference field="4294967294" count="1" selected="0">
            <x v="0"/>
          </reference>
          <reference field="5" count="1" selected="0">
            <x v="2"/>
          </reference>
        </references>
      </pivotArea>
    </chartFormat>
    <chartFormat chart="77" format="18">
      <pivotArea type="data" outline="0" fieldPosition="0">
        <references count="2">
          <reference field="4294967294" count="1" selected="0">
            <x v="0"/>
          </reference>
          <reference field="5" count="1" selected="0">
            <x v="3"/>
          </reference>
        </references>
      </pivotArea>
    </chartFormat>
    <chartFormat chart="77" format="19">
      <pivotArea type="data" outline="0" fieldPosition="0">
        <references count="2">
          <reference field="4294967294" count="1" selected="0">
            <x v="0"/>
          </reference>
          <reference field="5" count="1" selected="0">
            <x v="4"/>
          </reference>
        </references>
      </pivotArea>
    </chartFormat>
    <chartFormat chart="77" format="20">
      <pivotArea type="data" outline="0" fieldPosition="0">
        <references count="2">
          <reference field="4294967294" count="1" selected="0">
            <x v="0"/>
          </reference>
          <reference field="5" count="1" selected="0">
            <x v="5"/>
          </reference>
        </references>
      </pivotArea>
    </chartFormat>
    <chartFormat chart="77" format="21">
      <pivotArea type="data" outline="0" fieldPosition="0">
        <references count="2">
          <reference field="4294967294" count="1" selected="0">
            <x v="0"/>
          </reference>
          <reference field="5" count="1" selected="0">
            <x v="6"/>
          </reference>
        </references>
      </pivotArea>
    </chartFormat>
    <chartFormat chart="77" format="22">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DCA62-1A33-4DAF-8D2F-D7597002EECA}" name="PivotTable1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A146:B154" firstHeaderRow="1" firstDataRow="1" firstDataCol="1"/>
  <pivotFields count="22">
    <pivotField showAll="0"/>
    <pivotField showAll="0"/>
    <pivotField showAll="0"/>
    <pivotField showAll="0">
      <items count="3">
        <item x="1"/>
        <item x="0"/>
        <item t="default"/>
      </items>
    </pivotField>
    <pivotField showAll="0"/>
    <pivotField showAll="0">
      <items count="9">
        <item x="1"/>
        <item x="3"/>
        <item x="6"/>
        <item x="0"/>
        <item x="4"/>
        <item x="2"/>
        <item x="7"/>
        <item x="5"/>
        <item t="default"/>
      </items>
    </pivotField>
    <pivotField axis="axisRow"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6"/>
  </rowFields>
  <rowItems count="8">
    <i>
      <x/>
    </i>
    <i>
      <x v="1"/>
    </i>
    <i>
      <x v="2"/>
    </i>
    <i>
      <x v="3"/>
    </i>
    <i>
      <x v="4"/>
    </i>
    <i>
      <x v="5"/>
    </i>
    <i>
      <x v="6"/>
    </i>
    <i t="grand">
      <x/>
    </i>
  </rowItems>
  <colItems count="1">
    <i/>
  </colItems>
  <dataFields count="1">
    <dataField name="Sum of Total_Fees" fld="12" baseField="0" baseItem="0"/>
  </dataFields>
  <chartFormats count="10">
    <chartFormat chart="61" format="0" series="1">
      <pivotArea type="data" outline="0" fieldPosition="0">
        <references count="1">
          <reference field="4294967294" count="1" selected="0">
            <x v="0"/>
          </reference>
        </references>
      </pivotArea>
    </chartFormat>
    <chartFormat chart="66" format="3" series="1">
      <pivotArea type="data" outline="0" fieldPosition="0">
        <references count="1">
          <reference field="4294967294" count="1" selected="0">
            <x v="0"/>
          </reference>
        </references>
      </pivotArea>
    </chartFormat>
    <chartFormat chart="71" format="9" series="1">
      <pivotArea type="data" outline="0" fieldPosition="0">
        <references count="1">
          <reference field="4294967294" count="1" selected="0">
            <x v="0"/>
          </reference>
        </references>
      </pivotArea>
    </chartFormat>
    <chartFormat chart="71" format="10">
      <pivotArea type="data" outline="0" fieldPosition="0">
        <references count="2">
          <reference field="4294967294" count="1" selected="0">
            <x v="0"/>
          </reference>
          <reference field="6" count="1" selected="0">
            <x v="0"/>
          </reference>
        </references>
      </pivotArea>
    </chartFormat>
    <chartFormat chart="71" format="11">
      <pivotArea type="data" outline="0" fieldPosition="0">
        <references count="2">
          <reference field="4294967294" count="1" selected="0">
            <x v="0"/>
          </reference>
          <reference field="6" count="1" selected="0">
            <x v="1"/>
          </reference>
        </references>
      </pivotArea>
    </chartFormat>
    <chartFormat chart="71" format="12">
      <pivotArea type="data" outline="0" fieldPosition="0">
        <references count="2">
          <reference field="4294967294" count="1" selected="0">
            <x v="0"/>
          </reference>
          <reference field="6" count="1" selected="0">
            <x v="2"/>
          </reference>
        </references>
      </pivotArea>
    </chartFormat>
    <chartFormat chart="71" format="13">
      <pivotArea type="data" outline="0" fieldPosition="0">
        <references count="2">
          <reference field="4294967294" count="1" selected="0">
            <x v="0"/>
          </reference>
          <reference field="6" count="1" selected="0">
            <x v="3"/>
          </reference>
        </references>
      </pivotArea>
    </chartFormat>
    <chartFormat chart="71" format="14">
      <pivotArea type="data" outline="0" fieldPosition="0">
        <references count="2">
          <reference field="4294967294" count="1" selected="0">
            <x v="0"/>
          </reference>
          <reference field="6" count="1" selected="0">
            <x v="4"/>
          </reference>
        </references>
      </pivotArea>
    </chartFormat>
    <chartFormat chart="71" format="15">
      <pivotArea type="data" outline="0" fieldPosition="0">
        <references count="2">
          <reference field="4294967294" count="1" selected="0">
            <x v="0"/>
          </reference>
          <reference field="6" count="1" selected="0">
            <x v="5"/>
          </reference>
        </references>
      </pivotArea>
    </chartFormat>
    <chartFormat chart="71"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6BBC0-4F0A-43C7-8486-B12AEA938460}" name="PivotTable1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8">
  <location ref="A129:B142" firstHeaderRow="1" firstDataRow="1" firstDataCol="1"/>
  <pivotFields count="22">
    <pivotField showAll="0"/>
    <pivotField showAll="0"/>
    <pivotField showAll="0"/>
    <pivotField showAll="0">
      <items count="3">
        <item x="1"/>
        <item x="0"/>
        <item t="default"/>
      </items>
    </pivotField>
    <pivotField showAll="0"/>
    <pivotField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Total_Fees" fld="12" baseField="0" baseItem="0"/>
  </dataFields>
  <chartFormats count="1">
    <chartFormat chart="6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9985ED-18A5-46ED-A659-B2442416C2AC}" name="PivotTable10"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A117:A126" firstHeaderRow="1" firstDataRow="1" firstDataCol="1"/>
  <pivotFields count="22">
    <pivotField showAll="0"/>
    <pivotField showAll="0"/>
    <pivotField showAll="0"/>
    <pivotField showAll="0">
      <items count="3">
        <item x="1"/>
        <item x="0"/>
        <item t="default"/>
      </items>
    </pivotField>
    <pivotField showAll="0"/>
    <pivotField axis="axisRow"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9">
    <i>
      <x/>
    </i>
    <i>
      <x v="1"/>
    </i>
    <i>
      <x v="2"/>
    </i>
    <i>
      <x v="3"/>
    </i>
    <i>
      <x v="4"/>
    </i>
    <i>
      <x v="5"/>
    </i>
    <i>
      <x v="6"/>
    </i>
    <i>
      <x v="7"/>
    </i>
    <i t="grand">
      <x/>
    </i>
  </rowItems>
  <colItems count="1">
    <i/>
  </colItem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3C852-535E-4B19-8FCA-387E9619E636}" name="PivotTable9"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A103:B112" firstHeaderRow="1" firstDataRow="1" firstDataCol="1"/>
  <pivotFields count="22">
    <pivotField showAll="0"/>
    <pivotField showAll="0"/>
    <pivotField showAll="0"/>
    <pivotField showAll="0">
      <items count="3">
        <item x="1"/>
        <item x="0"/>
        <item t="default"/>
      </items>
    </pivotField>
    <pivotField showAll="0"/>
    <pivotField axis="axisRow"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9">
    <i>
      <x/>
    </i>
    <i>
      <x v="1"/>
    </i>
    <i>
      <x v="2"/>
    </i>
    <i>
      <x v="3"/>
    </i>
    <i>
      <x v="4"/>
    </i>
    <i>
      <x v="5"/>
    </i>
    <i>
      <x v="6"/>
    </i>
    <i>
      <x v="7"/>
    </i>
    <i t="grand">
      <x/>
    </i>
  </rowItems>
  <colItems count="1">
    <i/>
  </colItems>
  <dataFields count="1">
    <dataField name="Average of Total_Fees" fld="12" subtotal="average" baseField="5" baseItem="0"/>
  </dataFields>
  <chartFormats count="2">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FB1FC-3BB2-4784-96E7-83A9009DACCD}" name="PivotTable8"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A91:B100" firstHeaderRow="1" firstDataRow="1" firstDataCol="1"/>
  <pivotFields count="22">
    <pivotField showAll="0"/>
    <pivotField showAll="0"/>
    <pivotField showAll="0"/>
    <pivotField showAll="0">
      <items count="3">
        <item x="1"/>
        <item x="0"/>
        <item t="default"/>
      </items>
    </pivotField>
    <pivotField showAll="0"/>
    <pivotField axis="axisRow"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dataField="1"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9">
    <i>
      <x/>
    </i>
    <i>
      <x v="1"/>
    </i>
    <i>
      <x v="2"/>
    </i>
    <i>
      <x v="3"/>
    </i>
    <i>
      <x v="4"/>
    </i>
    <i>
      <x v="5"/>
    </i>
    <i>
      <x v="6"/>
    </i>
    <i>
      <x v="7"/>
    </i>
    <i t="grand">
      <x/>
    </i>
  </rowItems>
  <colItems count="1">
    <i/>
  </colItems>
  <dataFields count="1">
    <dataField name="Sum of Total_Fees" fld="12" baseField="0" baseItem="0"/>
  </dataFields>
  <chartFormats count="2">
    <chartFormat chart="43"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68318B-F028-4DC2-B4B0-17D4B4B6CFA8}" name="PivotTable7"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77:B86" firstHeaderRow="1" firstDataRow="1" firstDataCol="1"/>
  <pivotFields count="22">
    <pivotField dataField="1" showAll="0"/>
    <pivotField showAll="0"/>
    <pivotField showAll="0"/>
    <pivotField showAll="0">
      <items count="3">
        <item x="1"/>
        <item x="0"/>
        <item t="default"/>
      </items>
    </pivotField>
    <pivotField showAll="0"/>
    <pivotField axis="axisRow" showAll="0">
      <items count="9">
        <item x="1"/>
        <item x="3"/>
        <item x="6"/>
        <item x="0"/>
        <item x="4"/>
        <item x="2"/>
        <item x="7"/>
        <item x="5"/>
        <item t="default"/>
      </items>
    </pivotField>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9">
    <i>
      <x/>
    </i>
    <i>
      <x v="1"/>
    </i>
    <i>
      <x v="2"/>
    </i>
    <i>
      <x v="3"/>
    </i>
    <i>
      <x v="4"/>
    </i>
    <i>
      <x v="5"/>
    </i>
    <i>
      <x v="6"/>
    </i>
    <i>
      <x v="7"/>
    </i>
    <i t="grand">
      <x/>
    </i>
  </rowItems>
  <colItems count="1">
    <i/>
  </colItems>
  <dataFields count="1">
    <dataField name="Count of Patient_ID" fld="0" subtotal="count" baseField="0" baseItem="0"/>
  </dataFields>
  <chartFormats count="10">
    <chartFormat chart="38" format="0"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5" count="1" selected="0">
            <x v="0"/>
          </reference>
        </references>
      </pivotArea>
    </chartFormat>
    <chartFormat chart="40" format="12">
      <pivotArea type="data" outline="0" fieldPosition="0">
        <references count="2">
          <reference field="4294967294" count="1" selected="0">
            <x v="0"/>
          </reference>
          <reference field="5" count="1" selected="0">
            <x v="1"/>
          </reference>
        </references>
      </pivotArea>
    </chartFormat>
    <chartFormat chart="40" format="13">
      <pivotArea type="data" outline="0" fieldPosition="0">
        <references count="2">
          <reference field="4294967294" count="1" selected="0">
            <x v="0"/>
          </reference>
          <reference field="5" count="1" selected="0">
            <x v="2"/>
          </reference>
        </references>
      </pivotArea>
    </chartFormat>
    <chartFormat chart="40" format="14">
      <pivotArea type="data" outline="0" fieldPosition="0">
        <references count="2">
          <reference field="4294967294" count="1" selected="0">
            <x v="0"/>
          </reference>
          <reference field="5" count="1" selected="0">
            <x v="3"/>
          </reference>
        </references>
      </pivotArea>
    </chartFormat>
    <chartFormat chart="40" format="15">
      <pivotArea type="data" outline="0" fieldPosition="0">
        <references count="2">
          <reference field="4294967294" count="1" selected="0">
            <x v="0"/>
          </reference>
          <reference field="5" count="1" selected="0">
            <x v="4"/>
          </reference>
        </references>
      </pivotArea>
    </chartFormat>
    <chartFormat chart="40" format="16">
      <pivotArea type="data" outline="0" fieldPosition="0">
        <references count="2">
          <reference field="4294967294" count="1" selected="0">
            <x v="0"/>
          </reference>
          <reference field="5" count="1" selected="0">
            <x v="5"/>
          </reference>
        </references>
      </pivotArea>
    </chartFormat>
    <chartFormat chart="40" format="17">
      <pivotArea type="data" outline="0" fieldPosition="0">
        <references count="2">
          <reference field="4294967294" count="1" selected="0">
            <x v="0"/>
          </reference>
          <reference field="5" count="1" selected="0">
            <x v="6"/>
          </reference>
        </references>
      </pivotArea>
    </chartFormat>
    <chartFormat chart="40"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7B232B-648F-4A4F-B397-F71A7CB80C8E}" name="PivotTable6"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71:B74" firstHeaderRow="1" firstDataRow="1" firstDataCol="1"/>
  <pivotFields count="2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3">
        <item x="1"/>
        <item x="0"/>
        <item t="default"/>
      </items>
    </pivotField>
    <pivotField showAll="0"/>
    <pivotField showAll="0"/>
    <pivotField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3">
    <i>
      <x/>
    </i>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1241BD-75E4-40C0-BF60-EFD4028BAF11}" name="PivotTable5"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59:B67" firstHeaderRow="1" firstDataRow="1" firstDataCol="1"/>
  <pivotFields count="22">
    <pivotField showAll="0"/>
    <pivotField dataField="1" showAll="0"/>
    <pivotField showAll="0"/>
    <pivotField showAll="0">
      <items count="3">
        <item x="1"/>
        <item x="0"/>
        <item t="default"/>
      </items>
    </pivotField>
    <pivotField showAll="0"/>
    <pivotField showAll="0"/>
    <pivotField axis="axisRow" showAll="0">
      <items count="8">
        <item x="5"/>
        <item x="2"/>
        <item x="3"/>
        <item x="4"/>
        <item x="0"/>
        <item x="1"/>
        <item x="6"/>
        <item t="default"/>
      </items>
    </pivotField>
    <pivotField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6"/>
  </rowFields>
  <rowItems count="8">
    <i>
      <x/>
    </i>
    <i>
      <x v="1"/>
    </i>
    <i>
      <x v="2"/>
    </i>
    <i>
      <x v="3"/>
    </i>
    <i>
      <x v="4"/>
    </i>
    <i>
      <x v="5"/>
    </i>
    <i>
      <x v="6"/>
    </i>
    <i t="grand">
      <x/>
    </i>
  </rowItems>
  <colItems count="1">
    <i/>
  </colItems>
  <dataFields count="1">
    <dataField name="Count of Patient_Name" fld="1" subtotal="count" baseField="0" baseItem="0"/>
  </dataFields>
  <chartFormats count="21">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6" count="1" selected="0">
            <x v="0"/>
          </reference>
        </references>
      </pivotArea>
    </chartFormat>
    <chartFormat chart="31" format="12">
      <pivotArea type="data" outline="0" fieldPosition="0">
        <references count="2">
          <reference field="4294967294" count="1" selected="0">
            <x v="0"/>
          </reference>
          <reference field="6" count="1" selected="0">
            <x v="1"/>
          </reference>
        </references>
      </pivotArea>
    </chartFormat>
    <chartFormat chart="31" format="13">
      <pivotArea type="data" outline="0" fieldPosition="0">
        <references count="2">
          <reference field="4294967294" count="1" selected="0">
            <x v="0"/>
          </reference>
          <reference field="6" count="1" selected="0">
            <x v="2"/>
          </reference>
        </references>
      </pivotArea>
    </chartFormat>
    <chartFormat chart="31" format="14">
      <pivotArea type="data" outline="0" fieldPosition="0">
        <references count="2">
          <reference field="4294967294" count="1" selected="0">
            <x v="0"/>
          </reference>
          <reference field="6" count="1" selected="0">
            <x v="3"/>
          </reference>
        </references>
      </pivotArea>
    </chartFormat>
    <chartFormat chart="31" format="15">
      <pivotArea type="data" outline="0" fieldPosition="0">
        <references count="2">
          <reference field="4294967294" count="1" selected="0">
            <x v="0"/>
          </reference>
          <reference field="6" count="1" selected="0">
            <x v="4"/>
          </reference>
        </references>
      </pivotArea>
    </chartFormat>
    <chartFormat chart="31" format="16">
      <pivotArea type="data" outline="0" fieldPosition="0">
        <references count="2">
          <reference field="4294967294" count="1" selected="0">
            <x v="0"/>
          </reference>
          <reference field="6" count="1" selected="0">
            <x v="5"/>
          </reference>
        </references>
      </pivotArea>
    </chartFormat>
    <chartFormat chart="31" format="17">
      <pivotArea type="data" outline="0" fieldPosition="0">
        <references count="2">
          <reference field="4294967294" count="1" selected="0">
            <x v="0"/>
          </reference>
          <reference field="6" count="1" selected="0">
            <x v="6"/>
          </reference>
        </references>
      </pivotArea>
    </chartFormat>
    <chartFormat chart="37" format="34" series="1">
      <pivotArea type="data" outline="0" fieldPosition="0">
        <references count="1">
          <reference field="4294967294" count="1" selected="0">
            <x v="0"/>
          </reference>
        </references>
      </pivotArea>
    </chartFormat>
    <chartFormat chart="37" format="35">
      <pivotArea type="data" outline="0" fieldPosition="0">
        <references count="2">
          <reference field="4294967294" count="1" selected="0">
            <x v="0"/>
          </reference>
          <reference field="6" count="1" selected="0">
            <x v="0"/>
          </reference>
        </references>
      </pivotArea>
    </chartFormat>
    <chartFormat chart="37" format="36">
      <pivotArea type="data" outline="0" fieldPosition="0">
        <references count="2">
          <reference field="4294967294" count="1" selected="0">
            <x v="0"/>
          </reference>
          <reference field="6" count="1" selected="0">
            <x v="1"/>
          </reference>
        </references>
      </pivotArea>
    </chartFormat>
    <chartFormat chart="37" format="37">
      <pivotArea type="data" outline="0" fieldPosition="0">
        <references count="2">
          <reference field="4294967294" count="1" selected="0">
            <x v="0"/>
          </reference>
          <reference field="6" count="1" selected="0">
            <x v="2"/>
          </reference>
        </references>
      </pivotArea>
    </chartFormat>
    <chartFormat chart="37" format="38">
      <pivotArea type="data" outline="0" fieldPosition="0">
        <references count="2">
          <reference field="4294967294" count="1" selected="0">
            <x v="0"/>
          </reference>
          <reference field="6" count="1" selected="0">
            <x v="3"/>
          </reference>
        </references>
      </pivotArea>
    </chartFormat>
    <chartFormat chart="37" format="39">
      <pivotArea type="data" outline="0" fieldPosition="0">
        <references count="2">
          <reference field="4294967294" count="1" selected="0">
            <x v="0"/>
          </reference>
          <reference field="6" count="1" selected="0">
            <x v="4"/>
          </reference>
        </references>
      </pivotArea>
    </chartFormat>
    <chartFormat chart="37" format="40">
      <pivotArea type="data" outline="0" fieldPosition="0">
        <references count="2">
          <reference field="4294967294" count="1" selected="0">
            <x v="0"/>
          </reference>
          <reference field="6" count="1" selected="0">
            <x v="5"/>
          </reference>
        </references>
      </pivotArea>
    </chartFormat>
    <chartFormat chart="37" format="4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E6E8CE-6005-4E1C-8C9B-8F84E8CF7F56}" name="PivotTable4"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36:B53" firstHeaderRow="1" firstDataRow="1" firstDataCol="1"/>
  <pivotFields count="22">
    <pivotField showAll="0"/>
    <pivotField dataField="1" showAll="0"/>
    <pivotField showAll="0"/>
    <pivotField showAll="0">
      <items count="3">
        <item x="1"/>
        <item x="0"/>
        <item t="default"/>
      </items>
    </pivotField>
    <pivotField showAll="0"/>
    <pivotField showAll="0"/>
    <pivotField showAll="0"/>
    <pivotField axis="axisRow" showAll="0">
      <items count="17">
        <item x="10"/>
        <item x="11"/>
        <item x="15"/>
        <item x="7"/>
        <item x="3"/>
        <item x="12"/>
        <item x="5"/>
        <item x="9"/>
        <item x="14"/>
        <item x="8"/>
        <item x="6"/>
        <item x="2"/>
        <item x="0"/>
        <item x="1"/>
        <item x="13"/>
        <item x="4"/>
        <item t="default"/>
      </items>
    </pivotField>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Count of Patient_Name" fld="1" subtotal="count" baseField="0" baseItem="0"/>
  </dataField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5699CB-F637-4DD9-AD2B-D393D9CEA038}" name="PivotTable3"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20:B31" firstHeaderRow="1" firstDataRow="1" firstDataCol="1"/>
  <pivotFields count="22">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axis="axisRow" showAll="0">
      <items count="11">
        <item x="0"/>
        <item x="8"/>
        <item x="3"/>
        <item x="4"/>
        <item x="6"/>
        <item x="2"/>
        <item x="1"/>
        <item x="9"/>
        <item x="5"/>
        <item x="7"/>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5"/>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68D768-A188-424C-85B2-BE2CC17FB665}"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B16" firstHeaderRow="1" firstDataRow="1" firstDataCol="1"/>
  <pivotFields count="22">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items count="341">
        <item x="196"/>
        <item x="14"/>
        <item x="280"/>
        <item x="135"/>
        <item x="282"/>
        <item x="232"/>
        <item x="217"/>
        <item x="116"/>
        <item x="327"/>
        <item x="244"/>
        <item x="304"/>
        <item x="174"/>
        <item x="122"/>
        <item x="261"/>
        <item x="140"/>
        <item x="88"/>
        <item x="284"/>
        <item x="306"/>
        <item x="23"/>
        <item x="16"/>
        <item x="69"/>
        <item x="84"/>
        <item x="142"/>
        <item x="307"/>
        <item x="41"/>
        <item x="12"/>
        <item x="53"/>
        <item x="87"/>
        <item x="233"/>
        <item x="224"/>
        <item x="322"/>
        <item x="109"/>
        <item x="225"/>
        <item x="17"/>
        <item x="146"/>
        <item x="71"/>
        <item x="102"/>
        <item x="29"/>
        <item x="119"/>
        <item x="210"/>
        <item x="213"/>
        <item x="237"/>
        <item x="6"/>
        <item x="133"/>
        <item x="281"/>
        <item x="205"/>
        <item x="212"/>
        <item x="3"/>
        <item x="254"/>
        <item x="302"/>
        <item x="187"/>
        <item x="285"/>
        <item x="241"/>
        <item x="228"/>
        <item x="295"/>
        <item x="60"/>
        <item x="107"/>
        <item x="273"/>
        <item x="91"/>
        <item x="93"/>
        <item x="9"/>
        <item x="144"/>
        <item x="167"/>
        <item x="277"/>
        <item x="136"/>
        <item x="137"/>
        <item x="54"/>
        <item x="240"/>
        <item x="79"/>
        <item x="156"/>
        <item x="251"/>
        <item x="111"/>
        <item x="43"/>
        <item x="1"/>
        <item x="47"/>
        <item x="325"/>
        <item x="127"/>
        <item x="206"/>
        <item x="165"/>
        <item x="283"/>
        <item x="101"/>
        <item x="245"/>
        <item x="259"/>
        <item x="330"/>
        <item x="199"/>
        <item x="287"/>
        <item x="106"/>
        <item x="89"/>
        <item x="173"/>
        <item x="298"/>
        <item x="22"/>
        <item x="238"/>
        <item x="209"/>
        <item x="98"/>
        <item x="328"/>
        <item x="214"/>
        <item x="19"/>
        <item x="132"/>
        <item x="200"/>
        <item x="257"/>
        <item x="134"/>
        <item x="25"/>
        <item x="68"/>
        <item x="191"/>
        <item x="112"/>
        <item x="33"/>
        <item x="227"/>
        <item x="275"/>
        <item x="329"/>
        <item x="44"/>
        <item x="269"/>
        <item x="77"/>
        <item x="129"/>
        <item x="268"/>
        <item x="37"/>
        <item x="26"/>
        <item x="311"/>
        <item x="153"/>
        <item x="175"/>
        <item x="309"/>
        <item x="141"/>
        <item x="34"/>
        <item x="164"/>
        <item x="32"/>
        <item x="128"/>
        <item x="155"/>
        <item x="334"/>
        <item x="46"/>
        <item x="316"/>
        <item x="264"/>
        <item x="231"/>
        <item x="157"/>
        <item x="272"/>
        <item x="193"/>
        <item x="292"/>
        <item x="248"/>
        <item x="97"/>
        <item x="104"/>
        <item x="123"/>
        <item x="154"/>
        <item x="286"/>
        <item x="180"/>
        <item x="291"/>
        <item x="35"/>
        <item x="73"/>
        <item x="184"/>
        <item x="67"/>
        <item x="331"/>
        <item x="15"/>
        <item x="40"/>
        <item x="121"/>
        <item x="80"/>
        <item x="86"/>
        <item x="176"/>
        <item x="339"/>
        <item x="114"/>
        <item x="21"/>
        <item x="208"/>
        <item x="10"/>
        <item x="256"/>
        <item x="229"/>
        <item x="149"/>
        <item x="321"/>
        <item x="110"/>
        <item x="293"/>
        <item x="117"/>
        <item x="192"/>
        <item x="120"/>
        <item x="216"/>
        <item x="270"/>
        <item x="296"/>
        <item x="183"/>
        <item x="315"/>
        <item x="59"/>
        <item x="65"/>
        <item x="166"/>
        <item x="113"/>
        <item x="288"/>
        <item x="317"/>
        <item x="194"/>
        <item x="161"/>
        <item x="276"/>
        <item x="31"/>
        <item x="255"/>
        <item x="290"/>
        <item x="147"/>
        <item x="185"/>
        <item x="189"/>
        <item x="246"/>
        <item x="271"/>
        <item x="163"/>
        <item x="179"/>
        <item x="336"/>
        <item x="158"/>
        <item x="215"/>
        <item x="50"/>
        <item x="42"/>
        <item x="78"/>
        <item x="300"/>
        <item x="0"/>
        <item x="279"/>
        <item x="20"/>
        <item x="278"/>
        <item x="234"/>
        <item x="263"/>
        <item x="294"/>
        <item x="85"/>
        <item x="188"/>
        <item x="57"/>
        <item x="13"/>
        <item x="332"/>
        <item x="247"/>
        <item x="297"/>
        <item x="326"/>
        <item x="90"/>
        <item x="62"/>
        <item x="51"/>
        <item x="105"/>
        <item x="70"/>
        <item x="48"/>
        <item x="301"/>
        <item x="95"/>
        <item x="45"/>
        <item x="303"/>
        <item x="230"/>
        <item x="28"/>
        <item x="267"/>
        <item x="92"/>
        <item x="58"/>
        <item x="308"/>
        <item x="11"/>
        <item x="52"/>
        <item x="61"/>
        <item x="197"/>
        <item x="198"/>
        <item x="253"/>
        <item x="169"/>
        <item x="5"/>
        <item x="243"/>
        <item x="252"/>
        <item x="118"/>
        <item x="83"/>
        <item x="319"/>
        <item x="168"/>
        <item x="181"/>
        <item x="82"/>
        <item x="38"/>
        <item x="305"/>
        <item x="126"/>
        <item x="75"/>
        <item x="160"/>
        <item x="152"/>
        <item x="103"/>
        <item x="222"/>
        <item x="338"/>
        <item x="2"/>
        <item x="24"/>
        <item x="8"/>
        <item x="203"/>
        <item x="320"/>
        <item x="211"/>
        <item x="81"/>
        <item x="148"/>
        <item x="74"/>
        <item x="145"/>
        <item x="202"/>
        <item x="323"/>
        <item x="130"/>
        <item x="299"/>
        <item x="207"/>
        <item x="226"/>
        <item x="138"/>
        <item x="172"/>
        <item x="190"/>
        <item x="94"/>
        <item x="318"/>
        <item x="182"/>
        <item x="124"/>
        <item x="30"/>
        <item x="195"/>
        <item x="125"/>
        <item x="242"/>
        <item x="186"/>
        <item x="221"/>
        <item x="96"/>
        <item x="249"/>
        <item x="162"/>
        <item x="151"/>
        <item x="159"/>
        <item x="108"/>
        <item x="218"/>
        <item x="314"/>
        <item x="18"/>
        <item x="177"/>
        <item x="99"/>
        <item x="333"/>
        <item x="335"/>
        <item x="266"/>
        <item x="220"/>
        <item x="258"/>
        <item x="49"/>
        <item x="260"/>
        <item x="64"/>
        <item x="36"/>
        <item x="219"/>
        <item x="4"/>
        <item x="7"/>
        <item x="63"/>
        <item x="313"/>
        <item x="324"/>
        <item x="115"/>
        <item x="131"/>
        <item x="72"/>
        <item x="66"/>
        <item x="289"/>
        <item x="170"/>
        <item x="235"/>
        <item x="201"/>
        <item x="337"/>
        <item x="274"/>
        <item x="310"/>
        <item x="239"/>
        <item x="236"/>
        <item x="265"/>
        <item x="204"/>
        <item x="76"/>
        <item x="56"/>
        <item x="100"/>
        <item x="55"/>
        <item x="39"/>
        <item x="143"/>
        <item x="27"/>
        <item x="150"/>
        <item x="171"/>
        <item x="178"/>
        <item x="223"/>
        <item x="312"/>
        <item x="262"/>
        <item x="250"/>
        <item x="139"/>
        <item t="default"/>
      </items>
    </pivotField>
    <pivotField axis="axisRow" numFmtId="14" showAll="0">
      <items count="340">
        <item x="185"/>
        <item x="170"/>
        <item x="289"/>
        <item x="123"/>
        <item x="17"/>
        <item x="190"/>
        <item x="194"/>
        <item x="41"/>
        <item x="238"/>
        <item x="280"/>
        <item x="10"/>
        <item x="145"/>
        <item x="283"/>
        <item x="168"/>
        <item x="63"/>
        <item x="0"/>
        <item x="57"/>
        <item x="315"/>
        <item x="102"/>
        <item x="296"/>
        <item x="75"/>
        <item x="142"/>
        <item x="338"/>
        <item x="6"/>
        <item x="56"/>
        <item x="135"/>
        <item x="198"/>
        <item x="322"/>
        <item x="15"/>
        <item x="330"/>
        <item x="275"/>
        <item x="334"/>
        <item x="324"/>
        <item x="249"/>
        <item x="336"/>
        <item x="94"/>
        <item x="73"/>
        <item x="247"/>
        <item x="214"/>
        <item x="263"/>
        <item x="186"/>
        <item x="229"/>
        <item x="221"/>
        <item x="121"/>
        <item x="61"/>
        <item x="293"/>
        <item x="328"/>
        <item x="284"/>
        <item x="82"/>
        <item x="208"/>
        <item x="87"/>
        <item x="335"/>
        <item x="294"/>
        <item x="24"/>
        <item x="258"/>
        <item x="213"/>
        <item x="307"/>
        <item x="109"/>
        <item x="40"/>
        <item x="93"/>
        <item x="2"/>
        <item x="153"/>
        <item x="9"/>
        <item x="65"/>
        <item x="184"/>
        <item x="85"/>
        <item x="30"/>
        <item x="59"/>
        <item x="178"/>
        <item x="278"/>
        <item x="189"/>
        <item x="242"/>
        <item x="211"/>
        <item x="264"/>
        <item x="187"/>
        <item x="144"/>
        <item x="148"/>
        <item x="81"/>
        <item x="197"/>
        <item x="329"/>
        <item x="300"/>
        <item x="114"/>
        <item x="183"/>
        <item x="90"/>
        <item x="139"/>
        <item x="250"/>
        <item x="118"/>
        <item x="209"/>
        <item x="316"/>
        <item x="111"/>
        <item x="226"/>
        <item x="202"/>
        <item x="38"/>
        <item x="203"/>
        <item x="332"/>
        <item x="196"/>
        <item x="86"/>
        <item x="171"/>
        <item x="305"/>
        <item x="131"/>
        <item x="167"/>
        <item x="311"/>
        <item x="70"/>
        <item x="11"/>
        <item x="219"/>
        <item x="192"/>
        <item x="149"/>
        <item x="151"/>
        <item x="100"/>
        <item x="317"/>
        <item x="276"/>
        <item x="54"/>
        <item x="254"/>
        <item x="143"/>
        <item x="44"/>
        <item x="248"/>
        <item x="39"/>
        <item x="297"/>
        <item x="130"/>
        <item x="333"/>
        <item x="55"/>
        <item x="42"/>
        <item x="230"/>
        <item x="228"/>
        <item x="314"/>
        <item x="113"/>
        <item x="245"/>
        <item x="45"/>
        <item x="331"/>
        <item x="155"/>
        <item x="215"/>
        <item x="310"/>
        <item x="74"/>
        <item x="62"/>
        <item x="308"/>
        <item x="273"/>
        <item x="51"/>
        <item x="223"/>
        <item x="101"/>
        <item x="129"/>
        <item x="259"/>
        <item x="124"/>
        <item x="53"/>
        <item x="58"/>
        <item x="164"/>
        <item x="95"/>
        <item x="176"/>
        <item x="112"/>
        <item x="127"/>
        <item x="270"/>
        <item x="220"/>
        <item x="313"/>
        <item x="97"/>
        <item x="180"/>
        <item x="256"/>
        <item x="222"/>
        <item x="321"/>
        <item x="237"/>
        <item x="282"/>
        <item x="47"/>
        <item x="243"/>
        <item x="319"/>
        <item x="140"/>
        <item x="32"/>
        <item x="67"/>
        <item x="7"/>
        <item x="224"/>
        <item x="188"/>
        <item x="99"/>
        <item x="173"/>
        <item x="191"/>
        <item x="318"/>
        <item x="266"/>
        <item x="21"/>
        <item x="120"/>
        <item x="255"/>
        <item x="150"/>
        <item x="206"/>
        <item x="34"/>
        <item x="68"/>
        <item x="205"/>
        <item x="105"/>
        <item x="232"/>
        <item x="323"/>
        <item x="3"/>
        <item x="136"/>
        <item x="233"/>
        <item x="325"/>
        <item x="160"/>
        <item x="14"/>
        <item x="301"/>
        <item x="279"/>
        <item x="5"/>
        <item x="193"/>
        <item x="23"/>
        <item x="110"/>
        <item x="133"/>
        <item x="277"/>
        <item x="271"/>
        <item x="326"/>
        <item x="22"/>
        <item x="48"/>
        <item x="265"/>
        <item x="165"/>
        <item x="309"/>
        <item x="25"/>
        <item x="260"/>
        <item x="195"/>
        <item x="290"/>
        <item x="298"/>
        <item x="175"/>
        <item x="71"/>
        <item x="306"/>
        <item x="92"/>
        <item x="261"/>
        <item x="80"/>
        <item x="169"/>
        <item x="29"/>
        <item x="262"/>
        <item x="268"/>
        <item x="115"/>
        <item x="163"/>
        <item x="36"/>
        <item x="37"/>
        <item x="104"/>
        <item x="327"/>
        <item x="108"/>
        <item x="204"/>
        <item x="27"/>
        <item x="240"/>
        <item x="147"/>
        <item x="66"/>
        <item x="50"/>
        <item x="179"/>
        <item x="252"/>
        <item x="207"/>
        <item x="122"/>
        <item x="134"/>
        <item x="146"/>
        <item x="89"/>
        <item x="119"/>
        <item x="116"/>
        <item x="106"/>
        <item x="79"/>
        <item x="137"/>
        <item x="26"/>
        <item x="69"/>
        <item x="286"/>
        <item x="312"/>
        <item x="28"/>
        <item x="154"/>
        <item x="200"/>
        <item x="231"/>
        <item x="78"/>
        <item x="295"/>
        <item x="8"/>
        <item x="218"/>
        <item x="138"/>
        <item x="251"/>
        <item x="272"/>
        <item x="52"/>
        <item x="302"/>
        <item x="291"/>
        <item x="257"/>
        <item x="13"/>
        <item x="287"/>
        <item x="84"/>
        <item x="128"/>
        <item x="267"/>
        <item x="161"/>
        <item x="20"/>
        <item x="107"/>
        <item x="117"/>
        <item x="244"/>
        <item x="157"/>
        <item x="210"/>
        <item x="83"/>
        <item x="46"/>
        <item x="181"/>
        <item x="227"/>
        <item x="162"/>
        <item x="64"/>
        <item x="269"/>
        <item x="212"/>
        <item x="172"/>
        <item x="225"/>
        <item x="217"/>
        <item x="77"/>
        <item x="88"/>
        <item x="43"/>
        <item x="49"/>
        <item x="76"/>
        <item x="236"/>
        <item x="91"/>
        <item x="60"/>
        <item x="166"/>
        <item x="16"/>
        <item x="174"/>
        <item x="159"/>
        <item x="274"/>
        <item x="239"/>
        <item x="96"/>
        <item x="199"/>
        <item x="182"/>
        <item x="246"/>
        <item x="304"/>
        <item x="292"/>
        <item x="253"/>
        <item x="156"/>
        <item x="103"/>
        <item x="33"/>
        <item x="285"/>
        <item x="18"/>
        <item x="141"/>
        <item x="288"/>
        <item x="216"/>
        <item x="152"/>
        <item x="303"/>
        <item x="234"/>
        <item x="337"/>
        <item x="126"/>
        <item x="12"/>
        <item x="281"/>
        <item x="177"/>
        <item x="158"/>
        <item x="35"/>
        <item x="19"/>
        <item x="4"/>
        <item x="72"/>
        <item x="125"/>
        <item x="201"/>
        <item x="31"/>
        <item x="1"/>
        <item x="320"/>
        <item x="132"/>
        <item x="98"/>
        <item x="235"/>
        <item x="241"/>
        <item x="299"/>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21"/>
    <field x="20"/>
    <field x="14"/>
  </rowFields>
  <rowItems count="13">
    <i>
      <x v="1"/>
    </i>
    <i>
      <x v="2"/>
    </i>
    <i>
      <x v="3"/>
    </i>
    <i>
      <x v="4"/>
    </i>
    <i>
      <x v="5"/>
    </i>
    <i>
      <x v="6"/>
    </i>
    <i>
      <x v="7"/>
    </i>
    <i>
      <x v="8"/>
    </i>
    <i>
      <x v="9"/>
    </i>
    <i>
      <x v="10"/>
    </i>
    <i>
      <x v="11"/>
    </i>
    <i>
      <x v="12"/>
    </i>
    <i t="grand">
      <x/>
    </i>
  </rowItems>
  <colItems count="1">
    <i/>
  </colItems>
  <dataFields count="1">
    <dataField name="Count of Patient_I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filters count="1">
    <filter fld="13" type="dateBetween" evalOrder="-1" id="544" name="Admission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2E690A-7964-444F-ABD5-94F7E52E6703}" autoFormatId="16" applyNumberFormats="0" applyBorderFormats="0" applyFontFormats="0" applyPatternFormats="0" applyAlignmentFormats="0" applyWidthHeightFormats="0">
  <queryTableRefresh nextId="21">
    <queryTableFields count="20">
      <queryTableField id="1" name="Patient_ID" tableColumnId="1"/>
      <queryTableField id="2" name="Patient_Name" tableColumnId="2"/>
      <queryTableField id="3" name="Age" tableColumnId="3"/>
      <queryTableField id="4" name="Gender" tableColumnId="4"/>
      <queryTableField id="5" name="Blood_Group" tableColumnId="5"/>
      <queryTableField id="6" name="Doctor_Name" tableColumnId="6"/>
      <queryTableField id="7" name="Department" tableColumnId="7"/>
      <queryTableField id="8" name="Disease" tableColumnId="8"/>
      <queryTableField id="9" name="Consultation_Fee" tableColumnId="9"/>
      <queryTableField id="10" name="Medicine_Fee" tableColumnId="10"/>
      <queryTableField id="11" name="Test_Fee" tableColumnId="11"/>
      <queryTableField id="12" name="Room_Charges" tableColumnId="12"/>
      <queryTableField id="13" name="Total_Fees" tableColumnId="13"/>
      <queryTableField id="14" name="Admission_Date" tableColumnId="14"/>
      <queryTableField id="15" name="Discharge_Date" tableColumnId="15"/>
      <queryTableField id="16" name="City" tableColumnId="16"/>
      <queryTableField id="17" name="Payment_Method" tableColumnId="17"/>
      <queryTableField id="18" name="Patient_Status" tableColumnId="18"/>
      <queryTableField id="19" name="Room_Number" tableColumnId="19"/>
      <queryTableField id="20" name="Contact_Number"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A1C1FD-6734-4129-9E49-6C7F4E56AA81}" sourceName="Gender">
  <pivotTables>
    <pivotTable tabId="6" name="PivotTable4"/>
    <pivotTable tabId="6" name="PivotTable1"/>
    <pivotTable tabId="6" name="PivotTable3"/>
    <pivotTable tabId="6" name="PivotTable5"/>
    <pivotTable tabId="6" name="PivotTable7"/>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s>
  <data>
    <tabular pivotCacheId="1005594988">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EA700B32-D74F-428D-BFA7-CCDA36C6D12D}" sourceName="Doctor_Name">
  <pivotTables>
    <pivotTable tabId="6" name="PivotTable14"/>
    <pivotTable tabId="6" name="PivotTable11"/>
    <pivotTable tabId="6" name="PivotTable12"/>
    <pivotTable tabId="6" name="PivotTable15"/>
  </pivotTables>
  <data>
    <tabular pivotCacheId="1005594988">
      <items count="8">
        <i x="1" s="1"/>
        <i x="3" s="1"/>
        <i x="6" s="1"/>
        <i x="0" s="1"/>
        <i x="4" s="1"/>
        <i x="2"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B0F8336-CB67-46F5-95BF-DF34AC225C3E}" cache="Slicer_Gender" caption="Gender" style="SlicerStyleDark3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27C4E9E-C4C5-48BA-B12C-50B8829ED2D0}" cache="Slicer_Gender" caption="Gender" style="SlicerStyleDark3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FFD91D6-A093-4219-883A-2393BBF84C8E}" cache="Slicer_Gender" caption="Gender" style="SlicerStyleDark3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Name" xr10:uid="{B7B0C493-A22F-4CB8-AA16-556C2AAC4173}" cache="Slicer_Doctor_Name" caption="Doctor_Name" columnCount="4" style="SlicerStyleDark3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EE23F-31A7-4CA0-9A03-5C6F336389CC}" name="Hospital_Data_2025" displayName="Hospital_Data_2025" ref="A1:T1001" tableType="queryTable" totalsRowShown="0">
  <autoFilter ref="A1:T1001" xr:uid="{10CEE23F-31A7-4CA0-9A03-5C6F336389CC}"/>
  <tableColumns count="20">
    <tableColumn id="1" xr3:uid="{D6FFF09F-D6D6-46B2-ADBF-5B6D0FAD0FA2}" uniqueName="1" name="Patient_ID" queryTableFieldId="1" dataDxfId="18"/>
    <tableColumn id="2" xr3:uid="{377EE6AA-6661-4B2F-8B0B-1E76A8EE2E0B}" uniqueName="2" name="Patient_Name" queryTableFieldId="2" dataDxfId="17"/>
    <tableColumn id="3" xr3:uid="{37B4DFB6-816B-469E-B517-E89AA6013DB6}" uniqueName="3" name="Age" queryTableFieldId="3"/>
    <tableColumn id="4" xr3:uid="{737C812C-D77D-456D-B93F-6027BA4A99FC}" uniqueName="4" name="Gender" queryTableFieldId="4" dataDxfId="16"/>
    <tableColumn id="5" xr3:uid="{7C28F8BA-25A7-4865-8201-F96B9E7F7E7C}" uniqueName="5" name="Blood_Group" queryTableFieldId="5" dataDxfId="15"/>
    <tableColumn id="6" xr3:uid="{83970B1A-AAA2-4FC0-BB32-7D6A584464F8}" uniqueName="6" name="Doctor_Name" queryTableFieldId="6" dataDxfId="14"/>
    <tableColumn id="7" xr3:uid="{ACB73591-F21F-45A1-93E3-73B77848DE8A}" uniqueName="7" name="Department" queryTableFieldId="7" dataDxfId="13"/>
    <tableColumn id="8" xr3:uid="{4BE011DE-F2E2-4FF7-96DE-2D3A7DB719B1}" uniqueName="8" name="Disease" queryTableFieldId="8" dataDxfId="12"/>
    <tableColumn id="9" xr3:uid="{4CC47D96-0106-45D1-B9C9-228B023FC4C4}" uniqueName="9" name="Consultation_Fee" queryTableFieldId="9"/>
    <tableColumn id="10" xr3:uid="{AB18D8EE-A3A3-4722-B571-FB9FA33C5AEE}" uniqueName="10" name="Medicine_Fee" queryTableFieldId="10"/>
    <tableColumn id="11" xr3:uid="{89A124F2-69D5-4FF2-8B78-61A6AB7A555D}" uniqueName="11" name="Test_Fee" queryTableFieldId="11"/>
    <tableColumn id="12" xr3:uid="{5AD5840A-97E7-4A31-AF04-F94271ADA800}" uniqueName="12" name="Room_Charges" queryTableFieldId="12"/>
    <tableColumn id="13" xr3:uid="{DA1ACB19-29EC-4FDF-BF82-CE11011786E3}" uniqueName="13" name="Total_Fees" queryTableFieldId="13"/>
    <tableColumn id="14" xr3:uid="{8DE71605-E002-408A-A396-B3C00A984B3B}" uniqueName="14" name="Admission_Date" queryTableFieldId="14" dataDxfId="11"/>
    <tableColumn id="15" xr3:uid="{5A1041D3-B76E-4BA7-A105-8417952FACE2}" uniqueName="15" name="Discharge_Date" queryTableFieldId="15" dataDxfId="10"/>
    <tableColumn id="16" xr3:uid="{7BEE5A71-7AB4-42E2-80FC-2E5AFDA2F0DB}" uniqueName="16" name="City" queryTableFieldId="16" dataDxfId="9"/>
    <tableColumn id="17" xr3:uid="{09A33025-59C7-4348-AFD6-0493D1D631ED}" uniqueName="17" name="Payment_Method" queryTableFieldId="17" dataDxfId="8"/>
    <tableColumn id="18" xr3:uid="{6B52C849-E764-4593-BE7D-8CE1B48A04C2}" uniqueName="18" name="Patient_Status" queryTableFieldId="18" dataDxfId="7"/>
    <tableColumn id="19" xr3:uid="{877BECAB-54C8-4212-A4DF-F6FD9A8C008C}" uniqueName="19" name="Room_Number" queryTableFieldId="19"/>
    <tableColumn id="20" xr3:uid="{06469070-1D0C-40B4-95CC-C18F27492EEC}" uniqueName="20" name="Contact_Number" queryTableFieldId="20" dataDxfId="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993C817B-4725-4ED4-BDAC-244831D8E3F6}" sourceName="Admission_Date">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s>
  <state minimalRefreshVersion="6" lastRefreshVersion="6" pivotCacheId="1005594988"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548DB05A-ED78-467D-9B9C-A814BD5729B4}" cache="NativeTimeline_Admission_Date" caption="Admission_Date" showHeader="0" showSelectionLabel="0" showTimeLevel="0" showHorizontalScrollbar="0" level="2" selectionLevel="0" scrollPosition="202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1" xr10:uid="{B2D60E13-C313-4756-82BB-449359E634CA}" cache="NativeTimeline_Admission_Date" caption="Admission_Date" showHeader="0" showSelectionLabel="0" showTimeLevel="0" showHorizontalScrollbar="0" level="2" selectionLevel="0" scrollPosition="2025-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2" xr10:uid="{51C6EA6F-1BF0-49A0-8465-1020F5896800}" cache="NativeTimeline_Admission_Date" caption="Admission_Date" showHeader="0" showSelectionLabel="0" showTimeLevel="0" showHorizontalScrollbar="0" level="2" selectionLevel="0" scrollPosition="2025-01-01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3" xr10:uid="{06ED425C-BC55-49F1-B2C5-735D7347E351}" cache="NativeTimeline_Admission_Date" caption="Admission_Date" showHeader="0" showSelectionLabel="0" showTimeLevel="0" showHorizontalScrollbar="0" level="2" selectionLevel="0" scrollPosition="2025-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B21A2-8F5C-4962-9B42-273813CAEF58}">
  <dimension ref="A1:T1001"/>
  <sheetViews>
    <sheetView topLeftCell="B1" workbookViewId="0">
      <selection activeCell="G1" sqref="G1"/>
    </sheetView>
  </sheetViews>
  <sheetFormatPr defaultRowHeight="14.4" x14ac:dyDescent="0.3"/>
  <cols>
    <col min="1" max="1" width="12" bestFit="1" customWidth="1"/>
    <col min="2" max="2" width="15.33203125" bestFit="1" customWidth="1"/>
    <col min="3" max="3" width="6.44140625" bestFit="1" customWidth="1"/>
    <col min="4" max="4" width="9.33203125" bestFit="1" customWidth="1"/>
    <col min="5" max="5" width="14.33203125" bestFit="1" customWidth="1"/>
    <col min="6" max="6" width="15.109375" bestFit="1" customWidth="1"/>
    <col min="7" max="7" width="15.33203125" bestFit="1" customWidth="1"/>
    <col min="8" max="8" width="12.21875" bestFit="1" customWidth="1"/>
    <col min="9" max="9" width="17.88671875" bestFit="1" customWidth="1"/>
    <col min="10" max="10" width="14.88671875" bestFit="1" customWidth="1"/>
    <col min="11" max="11" width="10.5546875" bestFit="1" customWidth="1"/>
    <col min="12" max="12" width="16" bestFit="1" customWidth="1"/>
    <col min="13" max="13" width="12.109375" bestFit="1" customWidth="1"/>
    <col min="14" max="14" width="16.88671875" bestFit="1" customWidth="1"/>
    <col min="15" max="15" width="16.33203125" bestFit="1" customWidth="1"/>
    <col min="16" max="16" width="10.6640625" bestFit="1" customWidth="1"/>
    <col min="17" max="17" width="18.6640625" bestFit="1" customWidth="1"/>
    <col min="18" max="18" width="15.5546875" bestFit="1" customWidth="1"/>
    <col min="19" max="19" width="16.21875" bestFit="1" customWidth="1"/>
    <col min="20" max="20" width="17.77734375" bestFit="1" customWidth="1"/>
  </cols>
  <sheetData>
    <row r="1" spans="1:20" x14ac:dyDescent="0.3">
      <c r="A1" t="s">
        <v>0</v>
      </c>
      <c r="B1" t="s">
        <v>1</v>
      </c>
      <c r="C1" t="s">
        <v>2</v>
      </c>
      <c r="D1" t="s">
        <v>3</v>
      </c>
      <c r="E1" t="s">
        <v>8</v>
      </c>
      <c r="F1" t="s">
        <v>4</v>
      </c>
      <c r="G1" t="s">
        <v>72</v>
      </c>
      <c r="H1" t="s">
        <v>5</v>
      </c>
      <c r="I1" t="s">
        <v>6</v>
      </c>
      <c r="J1" t="s">
        <v>73</v>
      </c>
      <c r="K1" t="s">
        <v>74</v>
      </c>
      <c r="L1" t="s">
        <v>75</v>
      </c>
      <c r="M1" t="s">
        <v>10</v>
      </c>
      <c r="N1" t="s">
        <v>76</v>
      </c>
      <c r="O1" t="s">
        <v>77</v>
      </c>
      <c r="P1" t="s">
        <v>7</v>
      </c>
      <c r="Q1" t="s">
        <v>78</v>
      </c>
      <c r="R1" t="s">
        <v>79</v>
      </c>
      <c r="S1" t="s">
        <v>80</v>
      </c>
      <c r="T1" t="s">
        <v>81</v>
      </c>
    </row>
    <row r="2" spans="1:20" x14ac:dyDescent="0.3">
      <c r="A2" s="1" t="s">
        <v>82</v>
      </c>
      <c r="B2" s="1" t="s">
        <v>83</v>
      </c>
      <c r="C2">
        <v>36</v>
      </c>
      <c r="D2" s="1" t="s">
        <v>23</v>
      </c>
      <c r="E2" s="1" t="s">
        <v>24</v>
      </c>
      <c r="F2" s="1" t="s">
        <v>84</v>
      </c>
      <c r="G2" s="1" t="s">
        <v>85</v>
      </c>
      <c r="H2" s="1" t="s">
        <v>86</v>
      </c>
      <c r="I2">
        <v>509</v>
      </c>
      <c r="J2">
        <v>4967</v>
      </c>
      <c r="K2">
        <v>1012</v>
      </c>
      <c r="L2">
        <v>10674</v>
      </c>
      <c r="M2">
        <v>17162</v>
      </c>
      <c r="N2" s="2">
        <v>45874</v>
      </c>
      <c r="O2" s="2">
        <v>45674</v>
      </c>
      <c r="P2" s="1" t="s">
        <v>34</v>
      </c>
      <c r="Q2" s="1" t="s">
        <v>31</v>
      </c>
      <c r="R2" s="1" t="s">
        <v>87</v>
      </c>
      <c r="S2">
        <v>716</v>
      </c>
      <c r="T2" s="1" t="s">
        <v>88</v>
      </c>
    </row>
    <row r="3" spans="1:20" x14ac:dyDescent="0.3">
      <c r="A3" s="1" t="s">
        <v>89</v>
      </c>
      <c r="B3" s="1" t="s">
        <v>90</v>
      </c>
      <c r="C3">
        <v>84</v>
      </c>
      <c r="D3" s="1" t="s">
        <v>12</v>
      </c>
      <c r="E3" s="1" t="s">
        <v>20</v>
      </c>
      <c r="F3" s="1" t="s">
        <v>84</v>
      </c>
      <c r="G3" s="1" t="s">
        <v>91</v>
      </c>
      <c r="H3" s="1" t="s">
        <v>92</v>
      </c>
      <c r="I3">
        <v>869</v>
      </c>
      <c r="J3">
        <v>553</v>
      </c>
      <c r="K3">
        <v>6516</v>
      </c>
      <c r="L3">
        <v>14202</v>
      </c>
      <c r="M3">
        <v>22140</v>
      </c>
      <c r="N3" s="2">
        <v>45739</v>
      </c>
      <c r="O3" s="2">
        <v>46015</v>
      </c>
      <c r="P3" s="1" t="s">
        <v>93</v>
      </c>
      <c r="Q3" s="1" t="s">
        <v>31</v>
      </c>
      <c r="R3" s="1" t="s">
        <v>22</v>
      </c>
      <c r="S3">
        <v>881</v>
      </c>
      <c r="T3" s="1" t="s">
        <v>94</v>
      </c>
    </row>
    <row r="4" spans="1:20" x14ac:dyDescent="0.3">
      <c r="A4" s="1" t="s">
        <v>95</v>
      </c>
      <c r="B4" s="1" t="s">
        <v>96</v>
      </c>
      <c r="C4">
        <v>49</v>
      </c>
      <c r="D4" s="1" t="s">
        <v>23</v>
      </c>
      <c r="E4" s="1" t="s">
        <v>24</v>
      </c>
      <c r="F4" s="1" t="s">
        <v>97</v>
      </c>
      <c r="G4" s="1" t="s">
        <v>98</v>
      </c>
      <c r="H4" s="1" t="s">
        <v>99</v>
      </c>
      <c r="I4">
        <v>841</v>
      </c>
      <c r="J4">
        <v>855</v>
      </c>
      <c r="K4">
        <v>6277</v>
      </c>
      <c r="L4">
        <v>8527</v>
      </c>
      <c r="M4">
        <v>16500</v>
      </c>
      <c r="N4" s="2">
        <v>45932</v>
      </c>
      <c r="O4" s="2">
        <v>45721</v>
      </c>
      <c r="P4" s="1" t="s">
        <v>93</v>
      </c>
      <c r="Q4" s="1" t="s">
        <v>21</v>
      </c>
      <c r="R4" s="1" t="s">
        <v>87</v>
      </c>
      <c r="S4">
        <v>733</v>
      </c>
      <c r="T4" s="1" t="s">
        <v>100</v>
      </c>
    </row>
    <row r="5" spans="1:20" x14ac:dyDescent="0.3">
      <c r="A5" s="1" t="s">
        <v>101</v>
      </c>
      <c r="B5" s="1" t="s">
        <v>102</v>
      </c>
      <c r="C5">
        <v>25</v>
      </c>
      <c r="D5" s="1" t="s">
        <v>23</v>
      </c>
      <c r="E5" s="1" t="s">
        <v>27</v>
      </c>
      <c r="F5" s="1" t="s">
        <v>103</v>
      </c>
      <c r="G5" s="1" t="s">
        <v>104</v>
      </c>
      <c r="H5" s="1" t="s">
        <v>105</v>
      </c>
      <c r="I5">
        <v>892</v>
      </c>
      <c r="J5">
        <v>1153</v>
      </c>
      <c r="K5">
        <v>7306</v>
      </c>
      <c r="L5">
        <v>4814</v>
      </c>
      <c r="M5">
        <v>14165</v>
      </c>
      <c r="N5" s="2">
        <v>45709</v>
      </c>
      <c r="O5" s="2">
        <v>45852</v>
      </c>
      <c r="P5" s="1" t="s">
        <v>14</v>
      </c>
      <c r="Q5" s="1" t="s">
        <v>21</v>
      </c>
      <c r="R5" s="1" t="s">
        <v>22</v>
      </c>
      <c r="S5">
        <v>479</v>
      </c>
      <c r="T5" s="1" t="s">
        <v>106</v>
      </c>
    </row>
    <row r="6" spans="1:20" x14ac:dyDescent="0.3">
      <c r="A6" s="1" t="s">
        <v>107</v>
      </c>
      <c r="B6" s="1" t="s">
        <v>108</v>
      </c>
      <c r="C6">
        <v>83</v>
      </c>
      <c r="D6" s="1" t="s">
        <v>23</v>
      </c>
      <c r="E6" s="1" t="s">
        <v>40</v>
      </c>
      <c r="F6" s="1" t="s">
        <v>109</v>
      </c>
      <c r="G6" s="1" t="s">
        <v>104</v>
      </c>
      <c r="H6" s="1" t="s">
        <v>105</v>
      </c>
      <c r="I6">
        <v>634</v>
      </c>
      <c r="J6">
        <v>4286</v>
      </c>
      <c r="K6">
        <v>3408</v>
      </c>
      <c r="L6">
        <v>5422</v>
      </c>
      <c r="M6">
        <v>13750</v>
      </c>
      <c r="N6" s="2">
        <v>45985</v>
      </c>
      <c r="O6" s="2">
        <v>46010</v>
      </c>
      <c r="P6" s="1" t="s">
        <v>110</v>
      </c>
      <c r="Q6" s="1" t="s">
        <v>21</v>
      </c>
      <c r="R6" s="1" t="s">
        <v>22</v>
      </c>
      <c r="S6">
        <v>334</v>
      </c>
      <c r="T6" s="1" t="s">
        <v>111</v>
      </c>
    </row>
    <row r="7" spans="1:20" x14ac:dyDescent="0.3">
      <c r="A7" s="1" t="s">
        <v>112</v>
      </c>
      <c r="B7" s="1" t="s">
        <v>113</v>
      </c>
      <c r="C7">
        <v>52</v>
      </c>
      <c r="D7" s="1" t="s">
        <v>12</v>
      </c>
      <c r="E7" s="1" t="s">
        <v>15</v>
      </c>
      <c r="F7" s="1" t="s">
        <v>114</v>
      </c>
      <c r="G7" s="1" t="s">
        <v>91</v>
      </c>
      <c r="H7" s="1" t="s">
        <v>115</v>
      </c>
      <c r="I7">
        <v>1461</v>
      </c>
      <c r="J7">
        <v>3077</v>
      </c>
      <c r="K7">
        <v>2041</v>
      </c>
      <c r="L7">
        <v>11738</v>
      </c>
      <c r="M7">
        <v>18317</v>
      </c>
      <c r="N7" s="2">
        <v>45913</v>
      </c>
      <c r="O7" s="2">
        <v>45860</v>
      </c>
      <c r="P7" s="1" t="s">
        <v>116</v>
      </c>
      <c r="Q7" s="1" t="s">
        <v>31</v>
      </c>
      <c r="R7" s="1" t="s">
        <v>22</v>
      </c>
      <c r="S7">
        <v>862</v>
      </c>
      <c r="T7" s="1" t="s">
        <v>117</v>
      </c>
    </row>
    <row r="8" spans="1:20" x14ac:dyDescent="0.3">
      <c r="A8" s="1" t="s">
        <v>118</v>
      </c>
      <c r="B8" s="1" t="s">
        <v>119</v>
      </c>
      <c r="C8">
        <v>75</v>
      </c>
      <c r="D8" s="1" t="s">
        <v>12</v>
      </c>
      <c r="E8" s="1" t="s">
        <v>15</v>
      </c>
      <c r="F8" s="1" t="s">
        <v>120</v>
      </c>
      <c r="G8" s="1" t="s">
        <v>104</v>
      </c>
      <c r="H8" s="1" t="s">
        <v>99</v>
      </c>
      <c r="I8">
        <v>749</v>
      </c>
      <c r="J8">
        <v>1633</v>
      </c>
      <c r="K8">
        <v>4474</v>
      </c>
      <c r="L8">
        <v>9085</v>
      </c>
      <c r="M8">
        <v>15941</v>
      </c>
      <c r="N8" s="2">
        <v>45704</v>
      </c>
      <c r="O8" s="2">
        <v>45682</v>
      </c>
      <c r="P8" s="1" t="s">
        <v>35</v>
      </c>
      <c r="Q8" s="1" t="s">
        <v>31</v>
      </c>
      <c r="R8" s="1" t="s">
        <v>87</v>
      </c>
      <c r="S8">
        <v>532</v>
      </c>
      <c r="T8" s="1" t="s">
        <v>121</v>
      </c>
    </row>
    <row r="9" spans="1:20" x14ac:dyDescent="0.3">
      <c r="A9" s="1" t="s">
        <v>122</v>
      </c>
      <c r="B9" s="1" t="s">
        <v>123</v>
      </c>
      <c r="C9">
        <v>49</v>
      </c>
      <c r="D9" s="1" t="s">
        <v>12</v>
      </c>
      <c r="E9" s="1" t="s">
        <v>36</v>
      </c>
      <c r="F9" s="1" t="s">
        <v>124</v>
      </c>
      <c r="G9" s="1" t="s">
        <v>125</v>
      </c>
      <c r="H9" s="1" t="s">
        <v>18</v>
      </c>
      <c r="I9">
        <v>534</v>
      </c>
      <c r="J9">
        <v>4898</v>
      </c>
      <c r="K9">
        <v>6451</v>
      </c>
      <c r="L9">
        <v>5371</v>
      </c>
      <c r="M9">
        <v>17254</v>
      </c>
      <c r="N9" s="2">
        <v>45986</v>
      </c>
      <c r="O9" s="2">
        <v>45832</v>
      </c>
      <c r="P9" s="1" t="s">
        <v>35</v>
      </c>
      <c r="Q9" s="1" t="s">
        <v>31</v>
      </c>
      <c r="R9" s="1" t="s">
        <v>17</v>
      </c>
      <c r="S9">
        <v>103</v>
      </c>
      <c r="T9" s="1" t="s">
        <v>126</v>
      </c>
    </row>
    <row r="10" spans="1:20" x14ac:dyDescent="0.3">
      <c r="A10" s="1" t="s">
        <v>127</v>
      </c>
      <c r="B10" s="1" t="s">
        <v>128</v>
      </c>
      <c r="C10">
        <v>23</v>
      </c>
      <c r="D10" s="1" t="s">
        <v>23</v>
      </c>
      <c r="E10" s="1" t="s">
        <v>20</v>
      </c>
      <c r="F10" s="1" t="s">
        <v>124</v>
      </c>
      <c r="G10" s="1" t="s">
        <v>125</v>
      </c>
      <c r="H10" s="1" t="s">
        <v>115</v>
      </c>
      <c r="I10">
        <v>613</v>
      </c>
      <c r="J10">
        <v>3563</v>
      </c>
      <c r="K10">
        <v>6546</v>
      </c>
      <c r="L10">
        <v>3646</v>
      </c>
      <c r="M10">
        <v>14368</v>
      </c>
      <c r="N10" s="2">
        <v>45934</v>
      </c>
      <c r="O10" s="2">
        <v>45929</v>
      </c>
      <c r="P10" s="1" t="s">
        <v>34</v>
      </c>
      <c r="Q10" s="1" t="s">
        <v>16</v>
      </c>
      <c r="R10" s="1" t="s">
        <v>22</v>
      </c>
      <c r="S10">
        <v>471</v>
      </c>
      <c r="T10" s="1" t="s">
        <v>129</v>
      </c>
    </row>
    <row r="11" spans="1:20" x14ac:dyDescent="0.3">
      <c r="A11" s="1" t="s">
        <v>130</v>
      </c>
      <c r="B11" s="1" t="s">
        <v>131</v>
      </c>
      <c r="C11">
        <v>8</v>
      </c>
      <c r="D11" s="1" t="s">
        <v>23</v>
      </c>
      <c r="E11" s="1" t="s">
        <v>15</v>
      </c>
      <c r="F11" s="1" t="s">
        <v>114</v>
      </c>
      <c r="G11" s="1" t="s">
        <v>91</v>
      </c>
      <c r="H11" s="1" t="s">
        <v>37</v>
      </c>
      <c r="I11">
        <v>1295</v>
      </c>
      <c r="J11">
        <v>1066</v>
      </c>
      <c r="K11">
        <v>6530</v>
      </c>
      <c r="L11">
        <v>9727</v>
      </c>
      <c r="M11">
        <v>18618</v>
      </c>
      <c r="N11" s="2">
        <v>45722</v>
      </c>
      <c r="O11" s="2">
        <v>45723</v>
      </c>
      <c r="P11" s="1" t="s">
        <v>116</v>
      </c>
      <c r="Q11" s="1" t="s">
        <v>9</v>
      </c>
      <c r="R11" s="1" t="s">
        <v>22</v>
      </c>
      <c r="S11">
        <v>652</v>
      </c>
      <c r="T11" s="1" t="s">
        <v>132</v>
      </c>
    </row>
    <row r="12" spans="1:20" x14ac:dyDescent="0.3">
      <c r="A12" s="1" t="s">
        <v>133</v>
      </c>
      <c r="B12" s="1" t="s">
        <v>134</v>
      </c>
      <c r="C12">
        <v>52</v>
      </c>
      <c r="D12" s="1" t="s">
        <v>12</v>
      </c>
      <c r="E12" s="1" t="s">
        <v>40</v>
      </c>
      <c r="F12" s="1" t="s">
        <v>135</v>
      </c>
      <c r="G12" s="1" t="s">
        <v>98</v>
      </c>
      <c r="H12" s="1" t="s">
        <v>92</v>
      </c>
      <c r="I12">
        <v>547</v>
      </c>
      <c r="J12">
        <v>2530</v>
      </c>
      <c r="K12">
        <v>2140</v>
      </c>
      <c r="L12">
        <v>2049</v>
      </c>
      <c r="M12">
        <v>7266</v>
      </c>
      <c r="N12" s="2">
        <v>45831</v>
      </c>
      <c r="O12" s="2">
        <v>45668</v>
      </c>
      <c r="P12" s="1" t="s">
        <v>136</v>
      </c>
      <c r="Q12" s="1" t="s">
        <v>31</v>
      </c>
      <c r="R12" s="1" t="s">
        <v>22</v>
      </c>
      <c r="S12">
        <v>172</v>
      </c>
      <c r="T12" s="1" t="s">
        <v>137</v>
      </c>
    </row>
    <row r="13" spans="1:20" x14ac:dyDescent="0.3">
      <c r="A13" s="1" t="s">
        <v>138</v>
      </c>
      <c r="B13" s="1" t="s">
        <v>139</v>
      </c>
      <c r="C13">
        <v>9</v>
      </c>
      <c r="D13" s="1" t="s">
        <v>23</v>
      </c>
      <c r="E13" s="1" t="s">
        <v>15</v>
      </c>
      <c r="F13" s="1" t="s">
        <v>97</v>
      </c>
      <c r="G13" s="1" t="s">
        <v>104</v>
      </c>
      <c r="H13" s="1" t="s">
        <v>37</v>
      </c>
      <c r="I13">
        <v>1352</v>
      </c>
      <c r="J13">
        <v>2449</v>
      </c>
      <c r="K13">
        <v>2581</v>
      </c>
      <c r="L13">
        <v>11960</v>
      </c>
      <c r="M13">
        <v>18342</v>
      </c>
      <c r="N13" s="2">
        <v>45906</v>
      </c>
      <c r="O13" s="2">
        <v>45767</v>
      </c>
      <c r="P13" s="1" t="s">
        <v>110</v>
      </c>
      <c r="Q13" s="1" t="s">
        <v>9</v>
      </c>
      <c r="R13" s="1" t="s">
        <v>22</v>
      </c>
      <c r="S13">
        <v>903</v>
      </c>
      <c r="T13" s="1" t="s">
        <v>140</v>
      </c>
    </row>
    <row r="14" spans="1:20" x14ac:dyDescent="0.3">
      <c r="A14" s="1" t="s">
        <v>141</v>
      </c>
      <c r="B14" s="1" t="s">
        <v>58</v>
      </c>
      <c r="C14">
        <v>13</v>
      </c>
      <c r="D14" s="1" t="s">
        <v>23</v>
      </c>
      <c r="E14" s="1" t="s">
        <v>33</v>
      </c>
      <c r="F14" s="1" t="s">
        <v>120</v>
      </c>
      <c r="G14" s="1" t="s">
        <v>125</v>
      </c>
      <c r="H14" s="1" t="s">
        <v>99</v>
      </c>
      <c r="I14">
        <v>1167</v>
      </c>
      <c r="J14">
        <v>3867</v>
      </c>
      <c r="K14">
        <v>4125</v>
      </c>
      <c r="L14">
        <v>12945</v>
      </c>
      <c r="M14">
        <v>22104</v>
      </c>
      <c r="N14" s="2">
        <v>45685</v>
      </c>
      <c r="O14" s="2">
        <v>46002</v>
      </c>
      <c r="P14" s="1" t="s">
        <v>35</v>
      </c>
      <c r="Q14" s="1" t="s">
        <v>21</v>
      </c>
      <c r="R14" s="1" t="s">
        <v>22</v>
      </c>
      <c r="S14">
        <v>354</v>
      </c>
      <c r="T14" s="1" t="s">
        <v>142</v>
      </c>
    </row>
    <row r="15" spans="1:20" x14ac:dyDescent="0.3">
      <c r="A15" s="1" t="s">
        <v>143</v>
      </c>
      <c r="B15" s="1" t="s">
        <v>144</v>
      </c>
      <c r="C15">
        <v>58</v>
      </c>
      <c r="D15" s="1" t="s">
        <v>23</v>
      </c>
      <c r="E15" s="1" t="s">
        <v>33</v>
      </c>
      <c r="F15" s="1" t="s">
        <v>120</v>
      </c>
      <c r="G15" s="1" t="s">
        <v>104</v>
      </c>
      <c r="H15" s="1" t="s">
        <v>145</v>
      </c>
      <c r="I15">
        <v>870</v>
      </c>
      <c r="J15">
        <v>4289</v>
      </c>
      <c r="K15">
        <v>2346</v>
      </c>
      <c r="L15">
        <v>2235</v>
      </c>
      <c r="M15">
        <v>9740</v>
      </c>
      <c r="N15" s="2">
        <v>45884</v>
      </c>
      <c r="O15" s="2">
        <v>45939</v>
      </c>
      <c r="P15" s="1" t="s">
        <v>35</v>
      </c>
      <c r="Q15" s="1" t="s">
        <v>16</v>
      </c>
      <c r="R15" s="1" t="s">
        <v>22</v>
      </c>
      <c r="S15">
        <v>871</v>
      </c>
      <c r="T15" s="1" t="s">
        <v>146</v>
      </c>
    </row>
    <row r="16" spans="1:20" x14ac:dyDescent="0.3">
      <c r="A16" s="1" t="s">
        <v>147</v>
      </c>
      <c r="B16" s="1" t="s">
        <v>148</v>
      </c>
      <c r="C16">
        <v>53</v>
      </c>
      <c r="D16" s="1" t="s">
        <v>12</v>
      </c>
      <c r="E16" s="1" t="s">
        <v>27</v>
      </c>
      <c r="F16" s="1" t="s">
        <v>135</v>
      </c>
      <c r="G16" s="1" t="s">
        <v>91</v>
      </c>
      <c r="H16" s="1" t="s">
        <v>115</v>
      </c>
      <c r="I16">
        <v>1121</v>
      </c>
      <c r="J16">
        <v>980</v>
      </c>
      <c r="K16">
        <v>1648</v>
      </c>
      <c r="L16">
        <v>7209</v>
      </c>
      <c r="M16">
        <v>10958</v>
      </c>
      <c r="N16" s="2">
        <v>45659</v>
      </c>
      <c r="O16" s="2">
        <v>45857</v>
      </c>
      <c r="P16" s="1" t="s">
        <v>14</v>
      </c>
      <c r="Q16" s="1" t="s">
        <v>9</v>
      </c>
      <c r="R16" s="1" t="s">
        <v>87</v>
      </c>
      <c r="S16">
        <v>848</v>
      </c>
      <c r="T16" s="1" t="s">
        <v>149</v>
      </c>
    </row>
    <row r="17" spans="1:20" x14ac:dyDescent="0.3">
      <c r="A17" s="1" t="s">
        <v>150</v>
      </c>
      <c r="B17" s="1" t="s">
        <v>151</v>
      </c>
      <c r="C17">
        <v>20</v>
      </c>
      <c r="D17" s="1" t="s">
        <v>23</v>
      </c>
      <c r="E17" s="1" t="s">
        <v>2458</v>
      </c>
      <c r="F17" s="1" t="s">
        <v>124</v>
      </c>
      <c r="G17" s="1" t="s">
        <v>98</v>
      </c>
      <c r="H17" s="1" t="s">
        <v>115</v>
      </c>
      <c r="I17">
        <v>419</v>
      </c>
      <c r="J17">
        <v>4941</v>
      </c>
      <c r="K17">
        <v>799</v>
      </c>
      <c r="L17">
        <v>13254</v>
      </c>
      <c r="M17">
        <v>19413</v>
      </c>
      <c r="N17" s="2">
        <v>45818</v>
      </c>
      <c r="O17" s="2">
        <v>45687</v>
      </c>
      <c r="P17" s="1" t="s">
        <v>34</v>
      </c>
      <c r="Q17" s="1" t="s">
        <v>31</v>
      </c>
      <c r="R17" s="1" t="s">
        <v>22</v>
      </c>
      <c r="S17">
        <v>620</v>
      </c>
      <c r="T17" s="1" t="s">
        <v>152</v>
      </c>
    </row>
    <row r="18" spans="1:20" x14ac:dyDescent="0.3">
      <c r="A18" s="1" t="s">
        <v>153</v>
      </c>
      <c r="B18" s="1" t="s">
        <v>154</v>
      </c>
      <c r="C18">
        <v>77</v>
      </c>
      <c r="D18" s="1" t="s">
        <v>23</v>
      </c>
      <c r="E18" s="1" t="s">
        <v>38</v>
      </c>
      <c r="F18" s="1" t="s">
        <v>84</v>
      </c>
      <c r="G18" s="1" t="s">
        <v>104</v>
      </c>
      <c r="H18" s="1" t="s">
        <v>155</v>
      </c>
      <c r="I18">
        <v>545</v>
      </c>
      <c r="J18">
        <v>2516</v>
      </c>
      <c r="K18">
        <v>5042</v>
      </c>
      <c r="L18">
        <v>10740</v>
      </c>
      <c r="M18">
        <v>18843</v>
      </c>
      <c r="N18" s="2">
        <v>45678</v>
      </c>
      <c r="O18" s="2">
        <v>45975</v>
      </c>
      <c r="P18" s="1" t="s">
        <v>35</v>
      </c>
      <c r="Q18" s="1" t="s">
        <v>21</v>
      </c>
      <c r="R18" s="1" t="s">
        <v>17</v>
      </c>
      <c r="S18">
        <v>309</v>
      </c>
      <c r="T18" s="1" t="s">
        <v>156</v>
      </c>
    </row>
    <row r="19" spans="1:20" x14ac:dyDescent="0.3">
      <c r="A19" s="1" t="s">
        <v>157</v>
      </c>
      <c r="B19" s="1" t="s">
        <v>62</v>
      </c>
      <c r="C19">
        <v>34</v>
      </c>
      <c r="D19" s="1" t="s">
        <v>12</v>
      </c>
      <c r="E19" s="1" t="s">
        <v>24</v>
      </c>
      <c r="F19" s="1" t="s">
        <v>109</v>
      </c>
      <c r="G19" s="1" t="s">
        <v>158</v>
      </c>
      <c r="H19" s="1" t="s">
        <v>26</v>
      </c>
      <c r="I19">
        <v>1236</v>
      </c>
      <c r="J19">
        <v>3090</v>
      </c>
      <c r="K19">
        <v>7910</v>
      </c>
      <c r="L19">
        <v>13318</v>
      </c>
      <c r="M19">
        <v>25554</v>
      </c>
      <c r="N19" s="2">
        <v>45695</v>
      </c>
      <c r="O19" s="2">
        <v>45662</v>
      </c>
      <c r="P19" s="1" t="s">
        <v>116</v>
      </c>
      <c r="Q19" s="1" t="s">
        <v>31</v>
      </c>
      <c r="R19" s="1" t="s">
        <v>87</v>
      </c>
      <c r="S19">
        <v>371</v>
      </c>
      <c r="T19" s="1" t="s">
        <v>159</v>
      </c>
    </row>
    <row r="20" spans="1:20" x14ac:dyDescent="0.3">
      <c r="A20" s="1" t="s">
        <v>160</v>
      </c>
      <c r="B20" s="1" t="s">
        <v>161</v>
      </c>
      <c r="C20">
        <v>32</v>
      </c>
      <c r="D20" s="1" t="s">
        <v>12</v>
      </c>
      <c r="E20" s="1" t="s">
        <v>33</v>
      </c>
      <c r="F20" s="1" t="s">
        <v>124</v>
      </c>
      <c r="G20" s="1" t="s">
        <v>104</v>
      </c>
      <c r="H20" s="1" t="s">
        <v>145</v>
      </c>
      <c r="I20">
        <v>1197</v>
      </c>
      <c r="J20">
        <v>4950</v>
      </c>
      <c r="K20">
        <v>6063</v>
      </c>
      <c r="L20">
        <v>5956</v>
      </c>
      <c r="M20">
        <v>18166</v>
      </c>
      <c r="N20" s="2">
        <v>45971</v>
      </c>
      <c r="O20" s="2">
        <v>45992</v>
      </c>
      <c r="P20" s="1" t="s">
        <v>110</v>
      </c>
      <c r="Q20" s="1" t="s">
        <v>21</v>
      </c>
      <c r="R20" s="1" t="s">
        <v>87</v>
      </c>
      <c r="S20">
        <v>206</v>
      </c>
      <c r="T20" s="1" t="s">
        <v>162</v>
      </c>
    </row>
    <row r="21" spans="1:20" x14ac:dyDescent="0.3">
      <c r="A21" s="1" t="s">
        <v>163</v>
      </c>
      <c r="B21" s="1" t="s">
        <v>164</v>
      </c>
      <c r="C21">
        <v>15</v>
      </c>
      <c r="D21" s="1" t="s">
        <v>23</v>
      </c>
      <c r="E21" s="1" t="s">
        <v>27</v>
      </c>
      <c r="F21" s="1" t="s">
        <v>109</v>
      </c>
      <c r="G21" s="1" t="s">
        <v>91</v>
      </c>
      <c r="H21" s="1" t="s">
        <v>165</v>
      </c>
      <c r="I21">
        <v>877</v>
      </c>
      <c r="J21">
        <v>2225</v>
      </c>
      <c r="K21">
        <v>6178</v>
      </c>
      <c r="L21">
        <v>6617</v>
      </c>
      <c r="M21">
        <v>15897</v>
      </c>
      <c r="N21" s="2">
        <v>45762</v>
      </c>
      <c r="O21" s="2">
        <v>46009</v>
      </c>
      <c r="P21" s="1" t="s">
        <v>14</v>
      </c>
      <c r="Q21" s="1" t="s">
        <v>16</v>
      </c>
      <c r="R21" s="1" t="s">
        <v>22</v>
      </c>
      <c r="S21">
        <v>749</v>
      </c>
      <c r="T21" s="1" t="s">
        <v>166</v>
      </c>
    </row>
    <row r="22" spans="1:20" x14ac:dyDescent="0.3">
      <c r="A22" s="1" t="s">
        <v>167</v>
      </c>
      <c r="B22" s="1" t="s">
        <v>168</v>
      </c>
      <c r="C22">
        <v>1</v>
      </c>
      <c r="D22" s="1" t="s">
        <v>12</v>
      </c>
      <c r="E22" s="1" t="s">
        <v>24</v>
      </c>
      <c r="F22" s="1" t="s">
        <v>109</v>
      </c>
      <c r="G22" s="1" t="s">
        <v>158</v>
      </c>
      <c r="H22" s="1" t="s">
        <v>165</v>
      </c>
      <c r="I22">
        <v>630</v>
      </c>
      <c r="J22">
        <v>4119</v>
      </c>
      <c r="K22">
        <v>4819</v>
      </c>
      <c r="L22">
        <v>12561</v>
      </c>
      <c r="M22">
        <v>22129</v>
      </c>
      <c r="N22" s="2">
        <v>45876</v>
      </c>
      <c r="O22" s="2">
        <v>45945</v>
      </c>
      <c r="P22" s="1" t="s">
        <v>34</v>
      </c>
      <c r="Q22" s="1" t="s">
        <v>31</v>
      </c>
      <c r="R22" s="1" t="s">
        <v>87</v>
      </c>
      <c r="S22">
        <v>136</v>
      </c>
      <c r="T22" s="1" t="s">
        <v>169</v>
      </c>
    </row>
    <row r="23" spans="1:20" x14ac:dyDescent="0.3">
      <c r="A23" s="1" t="s">
        <v>170</v>
      </c>
      <c r="B23" s="1" t="s">
        <v>102</v>
      </c>
      <c r="C23">
        <v>71</v>
      </c>
      <c r="D23" s="1" t="s">
        <v>23</v>
      </c>
      <c r="E23" s="1" t="s">
        <v>40</v>
      </c>
      <c r="F23" s="1" t="s">
        <v>120</v>
      </c>
      <c r="G23" s="1" t="s">
        <v>104</v>
      </c>
      <c r="H23" s="1" t="s">
        <v>86</v>
      </c>
      <c r="I23">
        <v>385</v>
      </c>
      <c r="J23">
        <v>3025</v>
      </c>
      <c r="K23">
        <v>3287</v>
      </c>
      <c r="L23">
        <v>14043</v>
      </c>
      <c r="M23">
        <v>20740</v>
      </c>
      <c r="N23" s="2">
        <v>45678</v>
      </c>
      <c r="O23" s="2">
        <v>45841</v>
      </c>
      <c r="P23" s="1" t="s">
        <v>19</v>
      </c>
      <c r="Q23" s="1" t="s">
        <v>16</v>
      </c>
      <c r="R23" s="1" t="s">
        <v>17</v>
      </c>
      <c r="S23">
        <v>898</v>
      </c>
      <c r="T23" s="1" t="s">
        <v>171</v>
      </c>
    </row>
    <row r="24" spans="1:20" x14ac:dyDescent="0.3">
      <c r="A24" s="1" t="s">
        <v>172</v>
      </c>
      <c r="B24" s="1" t="s">
        <v>173</v>
      </c>
      <c r="C24">
        <v>20</v>
      </c>
      <c r="D24" s="1" t="s">
        <v>23</v>
      </c>
      <c r="E24" s="1" t="s">
        <v>36</v>
      </c>
      <c r="F24" s="1" t="s">
        <v>109</v>
      </c>
      <c r="G24" s="1" t="s">
        <v>85</v>
      </c>
      <c r="H24" s="1" t="s">
        <v>145</v>
      </c>
      <c r="I24">
        <v>1144</v>
      </c>
      <c r="J24">
        <v>703</v>
      </c>
      <c r="K24">
        <v>1769</v>
      </c>
      <c r="L24">
        <v>13067</v>
      </c>
      <c r="M24">
        <v>16683</v>
      </c>
      <c r="N24" s="2">
        <v>45828</v>
      </c>
      <c r="O24" s="2">
        <v>45868</v>
      </c>
      <c r="P24" s="1" t="s">
        <v>19</v>
      </c>
      <c r="Q24" s="1" t="s">
        <v>16</v>
      </c>
      <c r="R24" s="1" t="s">
        <v>17</v>
      </c>
      <c r="S24">
        <v>993</v>
      </c>
      <c r="T24" s="1" t="s">
        <v>174</v>
      </c>
    </row>
    <row r="25" spans="1:20" x14ac:dyDescent="0.3">
      <c r="A25" s="1" t="s">
        <v>175</v>
      </c>
      <c r="B25" s="1" t="s">
        <v>47</v>
      </c>
      <c r="C25">
        <v>26</v>
      </c>
      <c r="D25" s="1" t="s">
        <v>12</v>
      </c>
      <c r="E25" s="1" t="s">
        <v>36</v>
      </c>
      <c r="F25" s="1" t="s">
        <v>97</v>
      </c>
      <c r="G25" s="1" t="s">
        <v>176</v>
      </c>
      <c r="H25" s="1" t="s">
        <v>26</v>
      </c>
      <c r="I25">
        <v>766</v>
      </c>
      <c r="J25">
        <v>2326</v>
      </c>
      <c r="K25">
        <v>493</v>
      </c>
      <c r="L25">
        <v>11813</v>
      </c>
      <c r="M25">
        <v>15398</v>
      </c>
      <c r="N25" s="2">
        <v>45756</v>
      </c>
      <c r="O25" s="2">
        <v>45862</v>
      </c>
      <c r="P25" s="1" t="s">
        <v>177</v>
      </c>
      <c r="Q25" s="1" t="s">
        <v>16</v>
      </c>
      <c r="R25" s="1" t="s">
        <v>17</v>
      </c>
      <c r="S25">
        <v>459</v>
      </c>
      <c r="T25" s="1" t="s">
        <v>178</v>
      </c>
    </row>
    <row r="26" spans="1:20" x14ac:dyDescent="0.3">
      <c r="A26" s="1" t="s">
        <v>179</v>
      </c>
      <c r="B26" s="1" t="s">
        <v>180</v>
      </c>
      <c r="C26">
        <v>69</v>
      </c>
      <c r="D26" s="1" t="s">
        <v>12</v>
      </c>
      <c r="E26" s="1" t="s">
        <v>38</v>
      </c>
      <c r="F26" s="1" t="s">
        <v>103</v>
      </c>
      <c r="G26" s="1" t="s">
        <v>91</v>
      </c>
      <c r="H26" s="1" t="s">
        <v>13</v>
      </c>
      <c r="I26">
        <v>834</v>
      </c>
      <c r="J26">
        <v>1962</v>
      </c>
      <c r="K26">
        <v>5056</v>
      </c>
      <c r="L26">
        <v>5349</v>
      </c>
      <c r="M26">
        <v>13201</v>
      </c>
      <c r="N26" s="2">
        <v>45677</v>
      </c>
      <c r="O26" s="2">
        <v>45713</v>
      </c>
      <c r="P26" s="1" t="s">
        <v>136</v>
      </c>
      <c r="Q26" s="1" t="s">
        <v>21</v>
      </c>
      <c r="R26" s="1" t="s">
        <v>17</v>
      </c>
      <c r="S26">
        <v>720</v>
      </c>
      <c r="T26" s="1" t="s">
        <v>181</v>
      </c>
    </row>
    <row r="27" spans="1:20" x14ac:dyDescent="0.3">
      <c r="A27" s="1" t="s">
        <v>182</v>
      </c>
      <c r="B27" s="1" t="s">
        <v>183</v>
      </c>
      <c r="C27">
        <v>74</v>
      </c>
      <c r="D27" s="1" t="s">
        <v>23</v>
      </c>
      <c r="E27" s="1" t="s">
        <v>20</v>
      </c>
      <c r="F27" s="1" t="s">
        <v>124</v>
      </c>
      <c r="G27" s="1" t="s">
        <v>125</v>
      </c>
      <c r="H27" s="1" t="s">
        <v>29</v>
      </c>
      <c r="I27">
        <v>1193</v>
      </c>
      <c r="J27">
        <v>513</v>
      </c>
      <c r="K27">
        <v>4559</v>
      </c>
      <c r="L27">
        <v>14213</v>
      </c>
      <c r="M27">
        <v>20478</v>
      </c>
      <c r="N27" s="2">
        <v>45933</v>
      </c>
      <c r="O27" s="2">
        <v>46009</v>
      </c>
      <c r="P27" s="1" t="s">
        <v>19</v>
      </c>
      <c r="Q27" s="1" t="s">
        <v>16</v>
      </c>
      <c r="R27" s="1" t="s">
        <v>87</v>
      </c>
      <c r="S27">
        <v>438</v>
      </c>
      <c r="T27" s="1" t="s">
        <v>184</v>
      </c>
    </row>
    <row r="28" spans="1:20" x14ac:dyDescent="0.3">
      <c r="A28" s="1" t="s">
        <v>185</v>
      </c>
      <c r="B28" s="1" t="s">
        <v>70</v>
      </c>
      <c r="C28">
        <v>39</v>
      </c>
      <c r="D28" s="1" t="s">
        <v>12</v>
      </c>
      <c r="E28" s="1" t="s">
        <v>15</v>
      </c>
      <c r="F28" s="1" t="s">
        <v>120</v>
      </c>
      <c r="G28" s="1" t="s">
        <v>98</v>
      </c>
      <c r="H28" s="1" t="s">
        <v>186</v>
      </c>
      <c r="I28">
        <v>1124</v>
      </c>
      <c r="J28">
        <v>2922</v>
      </c>
      <c r="K28">
        <v>4841</v>
      </c>
      <c r="L28">
        <v>3085</v>
      </c>
      <c r="M28">
        <v>11972</v>
      </c>
      <c r="N28" s="2">
        <v>45756</v>
      </c>
      <c r="O28" s="2">
        <v>45873</v>
      </c>
      <c r="P28" s="1" t="s">
        <v>93</v>
      </c>
      <c r="Q28" s="1" t="s">
        <v>21</v>
      </c>
      <c r="R28" s="1" t="s">
        <v>17</v>
      </c>
      <c r="S28">
        <v>661</v>
      </c>
      <c r="T28" s="1" t="s">
        <v>187</v>
      </c>
    </row>
    <row r="29" spans="1:20" x14ac:dyDescent="0.3">
      <c r="A29" s="1" t="s">
        <v>188</v>
      </c>
      <c r="B29" s="1" t="s">
        <v>189</v>
      </c>
      <c r="C29">
        <v>37</v>
      </c>
      <c r="D29" s="1" t="s">
        <v>23</v>
      </c>
      <c r="E29" s="1" t="s">
        <v>15</v>
      </c>
      <c r="F29" s="1" t="s">
        <v>120</v>
      </c>
      <c r="G29" s="1" t="s">
        <v>104</v>
      </c>
      <c r="H29" s="1" t="s">
        <v>186</v>
      </c>
      <c r="I29">
        <v>1252</v>
      </c>
      <c r="J29">
        <v>4119</v>
      </c>
      <c r="K29">
        <v>3922</v>
      </c>
      <c r="L29">
        <v>12069</v>
      </c>
      <c r="M29">
        <v>21362</v>
      </c>
      <c r="N29" s="2">
        <v>45767</v>
      </c>
      <c r="O29" s="2">
        <v>45919</v>
      </c>
      <c r="P29" s="1" t="s">
        <v>116</v>
      </c>
      <c r="Q29" s="1" t="s">
        <v>16</v>
      </c>
      <c r="R29" s="1" t="s">
        <v>17</v>
      </c>
      <c r="S29">
        <v>627</v>
      </c>
      <c r="T29" s="1" t="s">
        <v>190</v>
      </c>
    </row>
    <row r="30" spans="1:20" x14ac:dyDescent="0.3">
      <c r="A30" s="1" t="s">
        <v>191</v>
      </c>
      <c r="B30" s="1" t="s">
        <v>192</v>
      </c>
      <c r="C30">
        <v>12</v>
      </c>
      <c r="D30" s="1" t="s">
        <v>23</v>
      </c>
      <c r="E30" s="1" t="s">
        <v>24</v>
      </c>
      <c r="F30" s="1" t="s">
        <v>124</v>
      </c>
      <c r="G30" s="1" t="s">
        <v>125</v>
      </c>
      <c r="H30" s="1" t="s">
        <v>105</v>
      </c>
      <c r="I30">
        <v>707</v>
      </c>
      <c r="J30">
        <v>1707</v>
      </c>
      <c r="K30">
        <v>500</v>
      </c>
      <c r="L30">
        <v>1757</v>
      </c>
      <c r="M30">
        <v>4671</v>
      </c>
      <c r="N30" s="2">
        <v>45783</v>
      </c>
      <c r="O30" s="2">
        <v>45901</v>
      </c>
      <c r="P30" s="1" t="s">
        <v>136</v>
      </c>
      <c r="Q30" s="1" t="s">
        <v>9</v>
      </c>
      <c r="R30" s="1" t="s">
        <v>87</v>
      </c>
      <c r="S30">
        <v>689</v>
      </c>
      <c r="T30" s="1" t="s">
        <v>193</v>
      </c>
    </row>
    <row r="31" spans="1:20" x14ac:dyDescent="0.3">
      <c r="A31" s="1" t="s">
        <v>194</v>
      </c>
      <c r="B31" s="1" t="s">
        <v>195</v>
      </c>
      <c r="C31">
        <v>52</v>
      </c>
      <c r="D31" s="1" t="s">
        <v>23</v>
      </c>
      <c r="E31" s="1" t="s">
        <v>33</v>
      </c>
      <c r="F31" s="1" t="s">
        <v>109</v>
      </c>
      <c r="G31" s="1" t="s">
        <v>98</v>
      </c>
      <c r="H31" s="1" t="s">
        <v>18</v>
      </c>
      <c r="I31">
        <v>518</v>
      </c>
      <c r="J31">
        <v>3982</v>
      </c>
      <c r="K31">
        <v>2092</v>
      </c>
      <c r="L31">
        <v>3881</v>
      </c>
      <c r="M31">
        <v>10473</v>
      </c>
      <c r="N31" s="2">
        <v>46014</v>
      </c>
      <c r="O31" s="2">
        <v>45923</v>
      </c>
      <c r="P31" s="1" t="s">
        <v>116</v>
      </c>
      <c r="Q31" s="1" t="s">
        <v>31</v>
      </c>
      <c r="R31" s="1" t="s">
        <v>22</v>
      </c>
      <c r="S31">
        <v>567</v>
      </c>
      <c r="T31" s="1" t="s">
        <v>196</v>
      </c>
    </row>
    <row r="32" spans="1:20" x14ac:dyDescent="0.3">
      <c r="A32" s="1" t="s">
        <v>197</v>
      </c>
      <c r="B32" s="1" t="s">
        <v>198</v>
      </c>
      <c r="C32">
        <v>72</v>
      </c>
      <c r="D32" s="1" t="s">
        <v>12</v>
      </c>
      <c r="E32" s="1" t="s">
        <v>40</v>
      </c>
      <c r="F32" s="1" t="s">
        <v>135</v>
      </c>
      <c r="G32" s="1" t="s">
        <v>176</v>
      </c>
      <c r="H32" s="1" t="s">
        <v>199</v>
      </c>
      <c r="I32">
        <v>1422</v>
      </c>
      <c r="J32">
        <v>4152</v>
      </c>
      <c r="K32">
        <v>7649</v>
      </c>
      <c r="L32">
        <v>3607</v>
      </c>
      <c r="M32">
        <v>16830</v>
      </c>
      <c r="N32" s="2">
        <v>45901</v>
      </c>
      <c r="O32" s="2">
        <v>45888</v>
      </c>
      <c r="P32" s="1" t="s">
        <v>14</v>
      </c>
      <c r="Q32" s="1" t="s">
        <v>21</v>
      </c>
      <c r="R32" s="1" t="s">
        <v>87</v>
      </c>
      <c r="S32">
        <v>596</v>
      </c>
      <c r="T32" s="1" t="s">
        <v>200</v>
      </c>
    </row>
    <row r="33" spans="1:20" x14ac:dyDescent="0.3">
      <c r="A33" s="1" t="s">
        <v>201</v>
      </c>
      <c r="B33" s="1" t="s">
        <v>202</v>
      </c>
      <c r="C33">
        <v>57</v>
      </c>
      <c r="D33" s="1" t="s">
        <v>23</v>
      </c>
      <c r="E33" s="1" t="s">
        <v>40</v>
      </c>
      <c r="F33" s="1" t="s">
        <v>124</v>
      </c>
      <c r="G33" s="1" t="s">
        <v>125</v>
      </c>
      <c r="H33" s="1" t="s">
        <v>105</v>
      </c>
      <c r="I33">
        <v>856</v>
      </c>
      <c r="J33">
        <v>3251</v>
      </c>
      <c r="K33">
        <v>2919</v>
      </c>
      <c r="L33">
        <v>9849</v>
      </c>
      <c r="M33">
        <v>16875</v>
      </c>
      <c r="N33" s="2">
        <v>45699</v>
      </c>
      <c r="O33" s="2">
        <v>45728</v>
      </c>
      <c r="P33" s="1" t="s">
        <v>25</v>
      </c>
      <c r="Q33" s="1" t="s">
        <v>31</v>
      </c>
      <c r="R33" s="1" t="s">
        <v>87</v>
      </c>
      <c r="S33">
        <v>319</v>
      </c>
      <c r="T33" s="1" t="s">
        <v>203</v>
      </c>
    </row>
    <row r="34" spans="1:20" x14ac:dyDescent="0.3">
      <c r="A34" s="1" t="s">
        <v>204</v>
      </c>
      <c r="B34" s="1" t="s">
        <v>205</v>
      </c>
      <c r="C34">
        <v>43</v>
      </c>
      <c r="D34" s="1" t="s">
        <v>12</v>
      </c>
      <c r="E34" s="1" t="s">
        <v>38</v>
      </c>
      <c r="F34" s="1" t="s">
        <v>120</v>
      </c>
      <c r="G34" s="1" t="s">
        <v>125</v>
      </c>
      <c r="H34" s="1" t="s">
        <v>29</v>
      </c>
      <c r="I34">
        <v>723</v>
      </c>
      <c r="J34">
        <v>3941</v>
      </c>
      <c r="K34">
        <v>3490</v>
      </c>
      <c r="L34">
        <v>13612</v>
      </c>
      <c r="M34">
        <v>21766</v>
      </c>
      <c r="N34" s="2">
        <v>45957</v>
      </c>
      <c r="O34" s="2">
        <v>46014</v>
      </c>
      <c r="P34" s="1" t="s">
        <v>34</v>
      </c>
      <c r="Q34" s="1" t="s">
        <v>16</v>
      </c>
      <c r="R34" s="1" t="s">
        <v>17</v>
      </c>
      <c r="S34">
        <v>405</v>
      </c>
      <c r="T34" s="1" t="s">
        <v>206</v>
      </c>
    </row>
    <row r="35" spans="1:20" x14ac:dyDescent="0.3">
      <c r="A35" s="1" t="s">
        <v>207</v>
      </c>
      <c r="B35" s="1" t="s">
        <v>208</v>
      </c>
      <c r="C35">
        <v>69</v>
      </c>
      <c r="D35" s="1" t="s">
        <v>23</v>
      </c>
      <c r="E35" s="1" t="s">
        <v>15</v>
      </c>
      <c r="F35" s="1" t="s">
        <v>135</v>
      </c>
      <c r="G35" s="1" t="s">
        <v>176</v>
      </c>
      <c r="H35" s="1" t="s">
        <v>105</v>
      </c>
      <c r="I35">
        <v>858</v>
      </c>
      <c r="J35">
        <v>4070</v>
      </c>
      <c r="K35">
        <v>4278</v>
      </c>
      <c r="L35">
        <v>1475</v>
      </c>
      <c r="M35">
        <v>10681</v>
      </c>
      <c r="N35" s="2">
        <v>45857</v>
      </c>
      <c r="O35" s="2">
        <v>45830</v>
      </c>
      <c r="P35" s="1" t="s">
        <v>93</v>
      </c>
      <c r="Q35" s="1" t="s">
        <v>9</v>
      </c>
      <c r="R35" s="1" t="s">
        <v>22</v>
      </c>
      <c r="S35">
        <v>737</v>
      </c>
      <c r="T35" s="1" t="s">
        <v>209</v>
      </c>
    </row>
    <row r="36" spans="1:20" x14ac:dyDescent="0.3">
      <c r="A36" s="1" t="s">
        <v>210</v>
      </c>
      <c r="B36" s="1" t="s">
        <v>211</v>
      </c>
      <c r="C36">
        <v>76</v>
      </c>
      <c r="D36" s="1" t="s">
        <v>23</v>
      </c>
      <c r="E36" s="1" t="s">
        <v>40</v>
      </c>
      <c r="F36" s="1" t="s">
        <v>114</v>
      </c>
      <c r="G36" s="1" t="s">
        <v>125</v>
      </c>
      <c r="H36" s="1" t="s">
        <v>199</v>
      </c>
      <c r="I36">
        <v>577</v>
      </c>
      <c r="J36">
        <v>4282</v>
      </c>
      <c r="K36">
        <v>1788</v>
      </c>
      <c r="L36">
        <v>1823</v>
      </c>
      <c r="M36">
        <v>8470</v>
      </c>
      <c r="N36" s="2">
        <v>45791</v>
      </c>
      <c r="O36" s="2">
        <v>45852</v>
      </c>
      <c r="P36" s="1" t="s">
        <v>177</v>
      </c>
      <c r="Q36" s="1" t="s">
        <v>21</v>
      </c>
      <c r="R36" s="1" t="s">
        <v>17</v>
      </c>
      <c r="S36">
        <v>879</v>
      </c>
      <c r="T36" s="1" t="s">
        <v>212</v>
      </c>
    </row>
    <row r="37" spans="1:20" x14ac:dyDescent="0.3">
      <c r="A37" s="1" t="s">
        <v>213</v>
      </c>
      <c r="B37" s="1" t="s">
        <v>214</v>
      </c>
      <c r="C37">
        <v>54</v>
      </c>
      <c r="D37" s="1" t="s">
        <v>12</v>
      </c>
      <c r="E37" s="1" t="s">
        <v>33</v>
      </c>
      <c r="F37" s="1" t="s">
        <v>114</v>
      </c>
      <c r="G37" s="1" t="s">
        <v>176</v>
      </c>
      <c r="H37" s="1" t="s">
        <v>215</v>
      </c>
      <c r="I37">
        <v>339</v>
      </c>
      <c r="J37">
        <v>4918</v>
      </c>
      <c r="K37">
        <v>726</v>
      </c>
      <c r="L37">
        <v>6733</v>
      </c>
      <c r="M37">
        <v>12716</v>
      </c>
      <c r="N37" s="2">
        <v>45772</v>
      </c>
      <c r="O37" s="2">
        <v>45990</v>
      </c>
      <c r="P37" s="1" t="s">
        <v>35</v>
      </c>
      <c r="Q37" s="1" t="s">
        <v>16</v>
      </c>
      <c r="R37" s="1" t="s">
        <v>22</v>
      </c>
      <c r="S37">
        <v>304</v>
      </c>
      <c r="T37" s="1" t="s">
        <v>216</v>
      </c>
    </row>
    <row r="38" spans="1:20" x14ac:dyDescent="0.3">
      <c r="A38" s="1" t="s">
        <v>217</v>
      </c>
      <c r="B38" s="1" t="s">
        <v>218</v>
      </c>
      <c r="C38">
        <v>20</v>
      </c>
      <c r="D38" s="1" t="s">
        <v>23</v>
      </c>
      <c r="E38" s="1" t="s">
        <v>24</v>
      </c>
      <c r="F38" s="1" t="s">
        <v>109</v>
      </c>
      <c r="G38" s="1" t="s">
        <v>176</v>
      </c>
      <c r="H38" s="1" t="s">
        <v>215</v>
      </c>
      <c r="I38">
        <v>534</v>
      </c>
      <c r="J38">
        <v>2285</v>
      </c>
      <c r="K38">
        <v>4109</v>
      </c>
      <c r="L38">
        <v>12460</v>
      </c>
      <c r="M38">
        <v>19388</v>
      </c>
      <c r="N38" s="2">
        <v>45789</v>
      </c>
      <c r="O38" s="2">
        <v>45846</v>
      </c>
      <c r="P38" s="1" t="s">
        <v>25</v>
      </c>
      <c r="Q38" s="1" t="s">
        <v>31</v>
      </c>
      <c r="R38" s="1" t="s">
        <v>17</v>
      </c>
      <c r="S38">
        <v>210</v>
      </c>
      <c r="T38" s="1" t="s">
        <v>219</v>
      </c>
    </row>
    <row r="39" spans="1:20" x14ac:dyDescent="0.3">
      <c r="A39" s="1" t="s">
        <v>220</v>
      </c>
      <c r="B39" s="1" t="s">
        <v>189</v>
      </c>
      <c r="C39">
        <v>74</v>
      </c>
      <c r="D39" s="1" t="s">
        <v>12</v>
      </c>
      <c r="E39" s="1" t="s">
        <v>24</v>
      </c>
      <c r="F39" s="1" t="s">
        <v>120</v>
      </c>
      <c r="G39" s="1" t="s">
        <v>176</v>
      </c>
      <c r="H39" s="1" t="s">
        <v>115</v>
      </c>
      <c r="I39">
        <v>455</v>
      </c>
      <c r="J39">
        <v>2489</v>
      </c>
      <c r="K39">
        <v>1134</v>
      </c>
      <c r="L39">
        <v>12422</v>
      </c>
      <c r="M39">
        <v>16500</v>
      </c>
      <c r="N39" s="2">
        <v>45812</v>
      </c>
      <c r="O39" s="2">
        <v>46008</v>
      </c>
      <c r="P39" s="1" t="s">
        <v>136</v>
      </c>
      <c r="Q39" s="1" t="s">
        <v>16</v>
      </c>
      <c r="R39" s="1" t="s">
        <v>17</v>
      </c>
      <c r="S39">
        <v>645</v>
      </c>
      <c r="T39" s="1" t="s">
        <v>221</v>
      </c>
    </row>
    <row r="40" spans="1:20" x14ac:dyDescent="0.3">
      <c r="A40" s="1" t="s">
        <v>222</v>
      </c>
      <c r="B40" s="1" t="s">
        <v>161</v>
      </c>
      <c r="C40">
        <v>65</v>
      </c>
      <c r="D40" s="1" t="s">
        <v>12</v>
      </c>
      <c r="E40" s="1" t="s">
        <v>38</v>
      </c>
      <c r="F40" s="1" t="s">
        <v>103</v>
      </c>
      <c r="G40" s="1" t="s">
        <v>85</v>
      </c>
      <c r="H40" s="1" t="s">
        <v>199</v>
      </c>
      <c r="I40">
        <v>1303</v>
      </c>
      <c r="J40">
        <v>1364</v>
      </c>
      <c r="K40">
        <v>3851</v>
      </c>
      <c r="L40">
        <v>6934</v>
      </c>
      <c r="M40">
        <v>13452</v>
      </c>
      <c r="N40" s="2">
        <v>45983</v>
      </c>
      <c r="O40" s="2">
        <v>45893</v>
      </c>
      <c r="P40" s="1" t="s">
        <v>25</v>
      </c>
      <c r="Q40" s="1" t="s">
        <v>21</v>
      </c>
      <c r="R40" s="1" t="s">
        <v>87</v>
      </c>
      <c r="S40">
        <v>927</v>
      </c>
      <c r="T40" s="1" t="s">
        <v>223</v>
      </c>
    </row>
    <row r="41" spans="1:20" x14ac:dyDescent="0.3">
      <c r="A41" s="1" t="s">
        <v>224</v>
      </c>
      <c r="B41" s="1" t="s">
        <v>151</v>
      </c>
      <c r="C41">
        <v>60</v>
      </c>
      <c r="D41" s="1" t="s">
        <v>12</v>
      </c>
      <c r="E41" s="1" t="s">
        <v>38</v>
      </c>
      <c r="F41" s="1" t="s">
        <v>124</v>
      </c>
      <c r="G41" s="1" t="s">
        <v>91</v>
      </c>
      <c r="H41" s="1" t="s">
        <v>186</v>
      </c>
      <c r="I41">
        <v>802</v>
      </c>
      <c r="J41">
        <v>1209</v>
      </c>
      <c r="K41">
        <v>2584</v>
      </c>
      <c r="L41">
        <v>8385</v>
      </c>
      <c r="M41">
        <v>12980</v>
      </c>
      <c r="N41" s="2">
        <v>45782</v>
      </c>
      <c r="O41" s="2">
        <v>45895</v>
      </c>
      <c r="P41" s="1" t="s">
        <v>136</v>
      </c>
      <c r="Q41" s="1" t="s">
        <v>16</v>
      </c>
      <c r="R41" s="1" t="s">
        <v>17</v>
      </c>
      <c r="S41">
        <v>971</v>
      </c>
      <c r="T41" s="1" t="s">
        <v>225</v>
      </c>
    </row>
    <row r="42" spans="1:20" x14ac:dyDescent="0.3">
      <c r="A42" s="1" t="s">
        <v>226</v>
      </c>
      <c r="B42" s="1" t="s">
        <v>227</v>
      </c>
      <c r="C42">
        <v>28</v>
      </c>
      <c r="D42" s="1" t="s">
        <v>12</v>
      </c>
      <c r="E42" s="1" t="s">
        <v>40</v>
      </c>
      <c r="F42" s="1" t="s">
        <v>124</v>
      </c>
      <c r="G42" s="1" t="s">
        <v>104</v>
      </c>
      <c r="H42" s="1" t="s">
        <v>186</v>
      </c>
      <c r="I42">
        <v>872</v>
      </c>
      <c r="J42">
        <v>2763</v>
      </c>
      <c r="K42">
        <v>4853</v>
      </c>
      <c r="L42">
        <v>1166</v>
      </c>
      <c r="M42">
        <v>9654</v>
      </c>
      <c r="N42" s="2">
        <v>45922</v>
      </c>
      <c r="O42" s="2">
        <v>45755</v>
      </c>
      <c r="P42" s="1" t="s">
        <v>35</v>
      </c>
      <c r="Q42" s="1" t="s">
        <v>9</v>
      </c>
      <c r="R42" s="1" t="s">
        <v>17</v>
      </c>
      <c r="S42">
        <v>668</v>
      </c>
      <c r="T42" s="1" t="s">
        <v>228</v>
      </c>
    </row>
    <row r="43" spans="1:20" x14ac:dyDescent="0.3">
      <c r="A43" s="1" t="s">
        <v>229</v>
      </c>
      <c r="B43" s="1" t="s">
        <v>230</v>
      </c>
      <c r="C43">
        <v>83</v>
      </c>
      <c r="D43" s="1" t="s">
        <v>12</v>
      </c>
      <c r="E43" s="1" t="s">
        <v>20</v>
      </c>
      <c r="F43" s="1" t="s">
        <v>135</v>
      </c>
      <c r="G43" s="1" t="s">
        <v>125</v>
      </c>
      <c r="H43" s="1" t="s">
        <v>18</v>
      </c>
      <c r="I43">
        <v>490</v>
      </c>
      <c r="J43">
        <v>2910</v>
      </c>
      <c r="K43">
        <v>2115</v>
      </c>
      <c r="L43">
        <v>7625</v>
      </c>
      <c r="M43">
        <v>13140</v>
      </c>
      <c r="N43" s="2">
        <v>46012</v>
      </c>
      <c r="O43" s="2">
        <v>45782</v>
      </c>
      <c r="P43" s="1" t="s">
        <v>14</v>
      </c>
      <c r="Q43" s="1" t="s">
        <v>21</v>
      </c>
      <c r="R43" s="1" t="s">
        <v>17</v>
      </c>
      <c r="S43">
        <v>863</v>
      </c>
      <c r="T43" s="1" t="s">
        <v>231</v>
      </c>
    </row>
    <row r="44" spans="1:20" x14ac:dyDescent="0.3">
      <c r="A44" s="1" t="s">
        <v>232</v>
      </c>
      <c r="B44" s="1" t="s">
        <v>233</v>
      </c>
      <c r="C44">
        <v>59</v>
      </c>
      <c r="D44" s="1" t="s">
        <v>12</v>
      </c>
      <c r="E44" s="1" t="s">
        <v>15</v>
      </c>
      <c r="F44" s="1" t="s">
        <v>124</v>
      </c>
      <c r="G44" s="1" t="s">
        <v>85</v>
      </c>
      <c r="H44" s="1" t="s">
        <v>165</v>
      </c>
      <c r="I44">
        <v>772</v>
      </c>
      <c r="J44">
        <v>1488</v>
      </c>
      <c r="K44">
        <v>6208</v>
      </c>
      <c r="L44">
        <v>4155</v>
      </c>
      <c r="M44">
        <v>12623</v>
      </c>
      <c r="N44" s="2">
        <v>45819</v>
      </c>
      <c r="O44" s="2">
        <v>45719</v>
      </c>
      <c r="P44" s="1" t="s">
        <v>110</v>
      </c>
      <c r="Q44" s="1" t="s">
        <v>31</v>
      </c>
      <c r="R44" s="1" t="s">
        <v>87</v>
      </c>
      <c r="S44">
        <v>595</v>
      </c>
      <c r="T44" s="1" t="s">
        <v>234</v>
      </c>
    </row>
    <row r="45" spans="1:20" x14ac:dyDescent="0.3">
      <c r="A45" s="1" t="s">
        <v>235</v>
      </c>
      <c r="B45" s="1" t="s">
        <v>236</v>
      </c>
      <c r="C45">
        <v>77</v>
      </c>
      <c r="D45" s="1" t="s">
        <v>12</v>
      </c>
      <c r="E45" s="1" t="s">
        <v>15</v>
      </c>
      <c r="F45" s="1" t="s">
        <v>114</v>
      </c>
      <c r="G45" s="1" t="s">
        <v>91</v>
      </c>
      <c r="H45" s="1" t="s">
        <v>115</v>
      </c>
      <c r="I45">
        <v>906</v>
      </c>
      <c r="J45">
        <v>2363</v>
      </c>
      <c r="K45">
        <v>3256</v>
      </c>
      <c r="L45">
        <v>3939</v>
      </c>
      <c r="M45">
        <v>10464</v>
      </c>
      <c r="N45" s="2">
        <v>45812</v>
      </c>
      <c r="O45" s="2">
        <v>45665</v>
      </c>
      <c r="P45" s="1" t="s">
        <v>110</v>
      </c>
      <c r="Q45" s="1" t="s">
        <v>16</v>
      </c>
      <c r="R45" s="1" t="s">
        <v>22</v>
      </c>
      <c r="S45">
        <v>666</v>
      </c>
      <c r="T45" s="1" t="s">
        <v>237</v>
      </c>
    </row>
    <row r="46" spans="1:20" x14ac:dyDescent="0.3">
      <c r="A46" s="1" t="s">
        <v>238</v>
      </c>
      <c r="B46" s="1" t="s">
        <v>239</v>
      </c>
      <c r="C46">
        <v>14</v>
      </c>
      <c r="D46" s="1" t="s">
        <v>23</v>
      </c>
      <c r="E46" s="1" t="s">
        <v>24</v>
      </c>
      <c r="F46" s="1" t="s">
        <v>124</v>
      </c>
      <c r="G46" s="1" t="s">
        <v>176</v>
      </c>
      <c r="H46" s="1" t="s">
        <v>215</v>
      </c>
      <c r="I46">
        <v>1280</v>
      </c>
      <c r="J46">
        <v>4108</v>
      </c>
      <c r="K46">
        <v>3091</v>
      </c>
      <c r="L46">
        <v>4020</v>
      </c>
      <c r="M46">
        <v>12499</v>
      </c>
      <c r="N46" s="2">
        <v>45684</v>
      </c>
      <c r="O46" s="2">
        <v>45787</v>
      </c>
      <c r="P46" s="1" t="s">
        <v>116</v>
      </c>
      <c r="Q46" s="1" t="s">
        <v>16</v>
      </c>
      <c r="R46" s="1" t="s">
        <v>17</v>
      </c>
      <c r="S46">
        <v>603</v>
      </c>
      <c r="T46" s="1" t="s">
        <v>240</v>
      </c>
    </row>
    <row r="47" spans="1:20" x14ac:dyDescent="0.3">
      <c r="A47" s="1" t="s">
        <v>241</v>
      </c>
      <c r="B47" s="1" t="s">
        <v>242</v>
      </c>
      <c r="C47">
        <v>20</v>
      </c>
      <c r="D47" s="1" t="s">
        <v>23</v>
      </c>
      <c r="E47" s="1" t="s">
        <v>40</v>
      </c>
      <c r="F47" s="1" t="s">
        <v>124</v>
      </c>
      <c r="G47" s="1" t="s">
        <v>176</v>
      </c>
      <c r="H47" s="1" t="s">
        <v>37</v>
      </c>
      <c r="I47">
        <v>808</v>
      </c>
      <c r="J47">
        <v>1470</v>
      </c>
      <c r="K47">
        <v>4871</v>
      </c>
      <c r="L47">
        <v>13524</v>
      </c>
      <c r="M47">
        <v>20673</v>
      </c>
      <c r="N47" s="2">
        <v>45871</v>
      </c>
      <c r="O47" s="2">
        <v>45968</v>
      </c>
      <c r="P47" s="1" t="s">
        <v>136</v>
      </c>
      <c r="Q47" s="1" t="s">
        <v>9</v>
      </c>
      <c r="R47" s="1" t="s">
        <v>17</v>
      </c>
      <c r="S47">
        <v>553</v>
      </c>
      <c r="T47" s="1" t="s">
        <v>243</v>
      </c>
    </row>
    <row r="48" spans="1:20" x14ac:dyDescent="0.3">
      <c r="A48" s="1" t="s">
        <v>244</v>
      </c>
      <c r="B48" s="1" t="s">
        <v>245</v>
      </c>
      <c r="C48">
        <v>40</v>
      </c>
      <c r="D48" s="1" t="s">
        <v>23</v>
      </c>
      <c r="E48" s="1" t="s">
        <v>24</v>
      </c>
      <c r="F48" s="1" t="s">
        <v>114</v>
      </c>
      <c r="G48" s="1" t="s">
        <v>85</v>
      </c>
      <c r="H48" s="1" t="s">
        <v>115</v>
      </c>
      <c r="I48">
        <v>732</v>
      </c>
      <c r="J48">
        <v>2667</v>
      </c>
      <c r="K48">
        <v>5710</v>
      </c>
      <c r="L48">
        <v>2330</v>
      </c>
      <c r="M48">
        <v>11439</v>
      </c>
      <c r="N48" s="2">
        <v>45738</v>
      </c>
      <c r="O48" s="2">
        <v>45780</v>
      </c>
      <c r="P48" s="1" t="s">
        <v>25</v>
      </c>
      <c r="Q48" s="1" t="s">
        <v>16</v>
      </c>
      <c r="R48" s="1" t="s">
        <v>17</v>
      </c>
      <c r="S48">
        <v>561</v>
      </c>
      <c r="T48" s="1" t="s">
        <v>246</v>
      </c>
    </row>
    <row r="49" spans="1:20" x14ac:dyDescent="0.3">
      <c r="A49" s="1" t="s">
        <v>247</v>
      </c>
      <c r="B49" s="1" t="s">
        <v>248</v>
      </c>
      <c r="C49">
        <v>38</v>
      </c>
      <c r="D49" s="1" t="s">
        <v>23</v>
      </c>
      <c r="E49" s="1" t="s">
        <v>40</v>
      </c>
      <c r="F49" s="1" t="s">
        <v>84</v>
      </c>
      <c r="G49" s="1" t="s">
        <v>125</v>
      </c>
      <c r="H49" s="1" t="s">
        <v>26</v>
      </c>
      <c r="I49">
        <v>879</v>
      </c>
      <c r="J49">
        <v>4219</v>
      </c>
      <c r="K49">
        <v>883</v>
      </c>
      <c r="L49">
        <v>12262</v>
      </c>
      <c r="M49">
        <v>18243</v>
      </c>
      <c r="N49" s="2">
        <v>45777</v>
      </c>
      <c r="O49" s="2">
        <v>45793</v>
      </c>
      <c r="P49" s="1" t="s">
        <v>136</v>
      </c>
      <c r="Q49" s="1" t="s">
        <v>16</v>
      </c>
      <c r="R49" s="1" t="s">
        <v>87</v>
      </c>
      <c r="S49">
        <v>330</v>
      </c>
      <c r="T49" s="1" t="s">
        <v>249</v>
      </c>
    </row>
    <row r="50" spans="1:20" x14ac:dyDescent="0.3">
      <c r="A50" s="1" t="s">
        <v>250</v>
      </c>
      <c r="B50" s="1" t="s">
        <v>164</v>
      </c>
      <c r="C50">
        <v>19</v>
      </c>
      <c r="D50" s="1" t="s">
        <v>23</v>
      </c>
      <c r="E50" s="1" t="s">
        <v>38</v>
      </c>
      <c r="F50" s="1" t="s">
        <v>103</v>
      </c>
      <c r="G50" s="1" t="s">
        <v>91</v>
      </c>
      <c r="H50" s="1" t="s">
        <v>145</v>
      </c>
      <c r="I50">
        <v>929</v>
      </c>
      <c r="J50">
        <v>2864</v>
      </c>
      <c r="K50">
        <v>3897</v>
      </c>
      <c r="L50">
        <v>3037</v>
      </c>
      <c r="M50">
        <v>10727</v>
      </c>
      <c r="N50" s="2">
        <v>45897</v>
      </c>
      <c r="O50" s="2">
        <v>46010</v>
      </c>
      <c r="P50" s="1" t="s">
        <v>14</v>
      </c>
      <c r="Q50" s="1" t="s">
        <v>9</v>
      </c>
      <c r="R50" s="1" t="s">
        <v>17</v>
      </c>
      <c r="S50">
        <v>182</v>
      </c>
      <c r="T50" s="1" t="s">
        <v>251</v>
      </c>
    </row>
    <row r="51" spans="1:20" x14ac:dyDescent="0.3">
      <c r="A51" s="1" t="s">
        <v>252</v>
      </c>
      <c r="B51" s="1" t="s">
        <v>253</v>
      </c>
      <c r="C51">
        <v>42</v>
      </c>
      <c r="D51" s="1" t="s">
        <v>12</v>
      </c>
      <c r="E51" s="1" t="s">
        <v>15</v>
      </c>
      <c r="F51" s="1" t="s">
        <v>103</v>
      </c>
      <c r="G51" s="1" t="s">
        <v>125</v>
      </c>
      <c r="H51" s="1" t="s">
        <v>37</v>
      </c>
      <c r="I51">
        <v>768</v>
      </c>
      <c r="J51">
        <v>669</v>
      </c>
      <c r="K51">
        <v>6564</v>
      </c>
      <c r="L51">
        <v>12014</v>
      </c>
      <c r="M51">
        <v>20015</v>
      </c>
      <c r="N51" s="2">
        <v>45795</v>
      </c>
      <c r="O51" s="2">
        <v>45953</v>
      </c>
      <c r="P51" s="1" t="s">
        <v>34</v>
      </c>
      <c r="Q51" s="1" t="s">
        <v>9</v>
      </c>
      <c r="R51" s="1" t="s">
        <v>17</v>
      </c>
      <c r="S51">
        <v>285</v>
      </c>
      <c r="T51" s="1" t="s">
        <v>254</v>
      </c>
    </row>
    <row r="52" spans="1:20" x14ac:dyDescent="0.3">
      <c r="A52" s="1" t="s">
        <v>255</v>
      </c>
      <c r="B52" s="1" t="s">
        <v>256</v>
      </c>
      <c r="C52">
        <v>12</v>
      </c>
      <c r="D52" s="1" t="s">
        <v>12</v>
      </c>
      <c r="E52" s="1" t="s">
        <v>27</v>
      </c>
      <c r="F52" s="1" t="s">
        <v>97</v>
      </c>
      <c r="G52" s="1" t="s">
        <v>91</v>
      </c>
      <c r="H52" s="1" t="s">
        <v>199</v>
      </c>
      <c r="I52">
        <v>982</v>
      </c>
      <c r="J52">
        <v>3130</v>
      </c>
      <c r="K52">
        <v>5789</v>
      </c>
      <c r="L52">
        <v>2713</v>
      </c>
      <c r="M52">
        <v>12614</v>
      </c>
      <c r="N52" s="2">
        <v>45740</v>
      </c>
      <c r="O52" s="2">
        <v>45826</v>
      </c>
      <c r="P52" s="1" t="s">
        <v>93</v>
      </c>
      <c r="Q52" s="1" t="s">
        <v>9</v>
      </c>
      <c r="R52" s="1" t="s">
        <v>87</v>
      </c>
      <c r="S52">
        <v>137</v>
      </c>
      <c r="T52" s="1" t="s">
        <v>257</v>
      </c>
    </row>
    <row r="53" spans="1:20" x14ac:dyDescent="0.3">
      <c r="A53" s="1" t="s">
        <v>258</v>
      </c>
      <c r="B53" s="1" t="s">
        <v>259</v>
      </c>
      <c r="C53">
        <v>33</v>
      </c>
      <c r="D53" s="1" t="s">
        <v>12</v>
      </c>
      <c r="E53" s="1" t="s">
        <v>40</v>
      </c>
      <c r="F53" s="1" t="s">
        <v>114</v>
      </c>
      <c r="G53" s="1" t="s">
        <v>98</v>
      </c>
      <c r="H53" s="1" t="s">
        <v>155</v>
      </c>
      <c r="I53">
        <v>1353</v>
      </c>
      <c r="J53">
        <v>509</v>
      </c>
      <c r="K53">
        <v>5687</v>
      </c>
      <c r="L53">
        <v>9889</v>
      </c>
      <c r="M53">
        <v>17438</v>
      </c>
      <c r="N53" s="2">
        <v>45894</v>
      </c>
      <c r="O53" s="2">
        <v>45869</v>
      </c>
      <c r="P53" s="1" t="s">
        <v>34</v>
      </c>
      <c r="Q53" s="1" t="s">
        <v>21</v>
      </c>
      <c r="R53" s="1" t="s">
        <v>87</v>
      </c>
      <c r="S53">
        <v>874</v>
      </c>
      <c r="T53" s="1" t="s">
        <v>260</v>
      </c>
    </row>
    <row r="54" spans="1:20" x14ac:dyDescent="0.3">
      <c r="A54" s="1" t="s">
        <v>261</v>
      </c>
      <c r="B54" s="1" t="s">
        <v>69</v>
      </c>
      <c r="C54">
        <v>27</v>
      </c>
      <c r="D54" s="1" t="s">
        <v>12</v>
      </c>
      <c r="E54" s="1" t="s">
        <v>15</v>
      </c>
      <c r="F54" s="1" t="s">
        <v>109</v>
      </c>
      <c r="G54" s="1" t="s">
        <v>91</v>
      </c>
      <c r="H54" s="1" t="s">
        <v>26</v>
      </c>
      <c r="I54">
        <v>1197</v>
      </c>
      <c r="J54">
        <v>4470</v>
      </c>
      <c r="K54">
        <v>1294</v>
      </c>
      <c r="L54">
        <v>1472</v>
      </c>
      <c r="M54">
        <v>8433</v>
      </c>
      <c r="N54" s="2">
        <v>45980</v>
      </c>
      <c r="O54" s="2">
        <v>45969</v>
      </c>
      <c r="P54" s="1" t="s">
        <v>19</v>
      </c>
      <c r="Q54" s="1" t="s">
        <v>16</v>
      </c>
      <c r="R54" s="1" t="s">
        <v>87</v>
      </c>
      <c r="S54">
        <v>517</v>
      </c>
      <c r="T54" s="1" t="s">
        <v>262</v>
      </c>
    </row>
    <row r="55" spans="1:20" x14ac:dyDescent="0.3">
      <c r="A55" s="1" t="s">
        <v>263</v>
      </c>
      <c r="B55" s="1" t="s">
        <v>264</v>
      </c>
      <c r="C55">
        <v>60</v>
      </c>
      <c r="D55" s="1" t="s">
        <v>23</v>
      </c>
      <c r="E55" s="1" t="s">
        <v>40</v>
      </c>
      <c r="F55" s="1" t="s">
        <v>109</v>
      </c>
      <c r="G55" s="1" t="s">
        <v>125</v>
      </c>
      <c r="H55" s="1" t="s">
        <v>215</v>
      </c>
      <c r="I55">
        <v>897</v>
      </c>
      <c r="J55">
        <v>4668</v>
      </c>
      <c r="K55">
        <v>6078</v>
      </c>
      <c r="L55">
        <v>5479</v>
      </c>
      <c r="M55">
        <v>17122</v>
      </c>
      <c r="N55" s="2">
        <v>45870</v>
      </c>
      <c r="O55" s="2">
        <v>45905</v>
      </c>
      <c r="P55" s="1" t="s">
        <v>116</v>
      </c>
      <c r="Q55" s="1" t="s">
        <v>31</v>
      </c>
      <c r="R55" s="1" t="s">
        <v>17</v>
      </c>
      <c r="S55">
        <v>295</v>
      </c>
      <c r="T55" s="1" t="s">
        <v>265</v>
      </c>
    </row>
    <row r="56" spans="1:20" x14ac:dyDescent="0.3">
      <c r="A56" s="1" t="s">
        <v>266</v>
      </c>
      <c r="B56" s="1" t="s">
        <v>267</v>
      </c>
      <c r="C56">
        <v>18</v>
      </c>
      <c r="D56" s="1" t="s">
        <v>23</v>
      </c>
      <c r="E56" s="1" t="s">
        <v>27</v>
      </c>
      <c r="F56" s="1" t="s">
        <v>124</v>
      </c>
      <c r="G56" s="1" t="s">
        <v>176</v>
      </c>
      <c r="H56" s="1" t="s">
        <v>199</v>
      </c>
      <c r="I56">
        <v>996</v>
      </c>
      <c r="J56">
        <v>4659</v>
      </c>
      <c r="K56">
        <v>2488</v>
      </c>
      <c r="L56">
        <v>14443</v>
      </c>
      <c r="M56">
        <v>22586</v>
      </c>
      <c r="N56" s="2">
        <v>45659</v>
      </c>
      <c r="O56" s="2">
        <v>45802</v>
      </c>
      <c r="P56" s="1" t="s">
        <v>14</v>
      </c>
      <c r="Q56" s="1" t="s">
        <v>31</v>
      </c>
      <c r="R56" s="1" t="s">
        <v>17</v>
      </c>
      <c r="S56">
        <v>651</v>
      </c>
      <c r="T56" s="1" t="s">
        <v>268</v>
      </c>
    </row>
    <row r="57" spans="1:20" x14ac:dyDescent="0.3">
      <c r="A57" s="1" t="s">
        <v>269</v>
      </c>
      <c r="B57" s="1" t="s">
        <v>270</v>
      </c>
      <c r="C57">
        <v>71</v>
      </c>
      <c r="D57" s="1" t="s">
        <v>12</v>
      </c>
      <c r="E57" s="1" t="s">
        <v>20</v>
      </c>
      <c r="F57" s="1" t="s">
        <v>135</v>
      </c>
      <c r="G57" s="1" t="s">
        <v>104</v>
      </c>
      <c r="H57" s="1" t="s">
        <v>186</v>
      </c>
      <c r="I57">
        <v>686</v>
      </c>
      <c r="J57">
        <v>2456</v>
      </c>
      <c r="K57">
        <v>4984</v>
      </c>
      <c r="L57">
        <v>7274</v>
      </c>
      <c r="M57">
        <v>15400</v>
      </c>
      <c r="N57" s="2">
        <v>45777</v>
      </c>
      <c r="O57" s="2">
        <v>45868</v>
      </c>
      <c r="P57" s="1" t="s">
        <v>34</v>
      </c>
      <c r="Q57" s="1" t="s">
        <v>9</v>
      </c>
      <c r="R57" s="1" t="s">
        <v>87</v>
      </c>
      <c r="S57">
        <v>930</v>
      </c>
      <c r="T57" s="1" t="s">
        <v>271</v>
      </c>
    </row>
    <row r="58" spans="1:20" x14ac:dyDescent="0.3">
      <c r="A58" s="1" t="s">
        <v>272</v>
      </c>
      <c r="B58" s="1" t="s">
        <v>273</v>
      </c>
      <c r="C58">
        <v>64</v>
      </c>
      <c r="D58" s="1" t="s">
        <v>23</v>
      </c>
      <c r="E58" s="1" t="s">
        <v>38</v>
      </c>
      <c r="F58" s="1" t="s">
        <v>109</v>
      </c>
      <c r="G58" s="1" t="s">
        <v>176</v>
      </c>
      <c r="H58" s="1" t="s">
        <v>186</v>
      </c>
      <c r="I58">
        <v>505</v>
      </c>
      <c r="J58">
        <v>4106</v>
      </c>
      <c r="K58">
        <v>1116</v>
      </c>
      <c r="L58">
        <v>9617</v>
      </c>
      <c r="M58">
        <v>15344</v>
      </c>
      <c r="N58" s="2">
        <v>45891</v>
      </c>
      <c r="O58" s="2">
        <v>45665</v>
      </c>
      <c r="P58" s="1" t="s">
        <v>25</v>
      </c>
      <c r="Q58" s="1" t="s">
        <v>31</v>
      </c>
      <c r="R58" s="1" t="s">
        <v>22</v>
      </c>
      <c r="S58">
        <v>580</v>
      </c>
      <c r="T58" s="1" t="s">
        <v>274</v>
      </c>
    </row>
    <row r="59" spans="1:20" x14ac:dyDescent="0.3">
      <c r="A59" s="1" t="s">
        <v>275</v>
      </c>
      <c r="B59" s="1" t="s">
        <v>276</v>
      </c>
      <c r="C59">
        <v>80</v>
      </c>
      <c r="D59" s="1" t="s">
        <v>12</v>
      </c>
      <c r="E59" s="1" t="s">
        <v>24</v>
      </c>
      <c r="F59" s="1" t="s">
        <v>114</v>
      </c>
      <c r="G59" s="1" t="s">
        <v>85</v>
      </c>
      <c r="H59" s="1" t="s">
        <v>186</v>
      </c>
      <c r="I59">
        <v>1392</v>
      </c>
      <c r="J59">
        <v>3613</v>
      </c>
      <c r="K59">
        <v>2894</v>
      </c>
      <c r="L59">
        <v>11269</v>
      </c>
      <c r="M59">
        <v>19168</v>
      </c>
      <c r="N59" s="2">
        <v>45907</v>
      </c>
      <c r="O59" s="2">
        <v>45935</v>
      </c>
      <c r="P59" s="1" t="s">
        <v>34</v>
      </c>
      <c r="Q59" s="1" t="s">
        <v>21</v>
      </c>
      <c r="R59" s="1" t="s">
        <v>22</v>
      </c>
      <c r="S59">
        <v>864</v>
      </c>
      <c r="T59" s="1" t="s">
        <v>277</v>
      </c>
    </row>
    <row r="60" spans="1:20" x14ac:dyDescent="0.3">
      <c r="A60" s="1" t="s">
        <v>278</v>
      </c>
      <c r="B60" s="1" t="s">
        <v>44</v>
      </c>
      <c r="C60">
        <v>82</v>
      </c>
      <c r="D60" s="1" t="s">
        <v>23</v>
      </c>
      <c r="E60" s="1" t="s">
        <v>20</v>
      </c>
      <c r="F60" s="1" t="s">
        <v>135</v>
      </c>
      <c r="G60" s="1" t="s">
        <v>125</v>
      </c>
      <c r="H60" s="1" t="s">
        <v>145</v>
      </c>
      <c r="I60">
        <v>913</v>
      </c>
      <c r="J60">
        <v>737</v>
      </c>
      <c r="K60">
        <v>676</v>
      </c>
      <c r="L60">
        <v>6314</v>
      </c>
      <c r="M60">
        <v>8640</v>
      </c>
      <c r="N60" s="2">
        <v>45686</v>
      </c>
      <c r="O60" s="2">
        <v>45808</v>
      </c>
      <c r="P60" s="1" t="s">
        <v>177</v>
      </c>
      <c r="Q60" s="1" t="s">
        <v>31</v>
      </c>
      <c r="R60" s="1" t="s">
        <v>22</v>
      </c>
      <c r="S60">
        <v>643</v>
      </c>
      <c r="T60" s="1" t="s">
        <v>279</v>
      </c>
    </row>
    <row r="61" spans="1:20" x14ac:dyDescent="0.3">
      <c r="A61" s="1" t="s">
        <v>280</v>
      </c>
      <c r="B61" s="1" t="s">
        <v>281</v>
      </c>
      <c r="C61">
        <v>22</v>
      </c>
      <c r="D61" s="1" t="s">
        <v>23</v>
      </c>
      <c r="E61" s="1" t="s">
        <v>36</v>
      </c>
      <c r="F61" s="1" t="s">
        <v>114</v>
      </c>
      <c r="G61" s="1" t="s">
        <v>125</v>
      </c>
      <c r="H61" s="1" t="s">
        <v>155</v>
      </c>
      <c r="I61">
        <v>793</v>
      </c>
      <c r="J61">
        <v>4576</v>
      </c>
      <c r="K61">
        <v>7777</v>
      </c>
      <c r="L61">
        <v>10554</v>
      </c>
      <c r="M61">
        <v>23700</v>
      </c>
      <c r="N61" s="2">
        <v>45731</v>
      </c>
      <c r="O61" s="2">
        <v>45776</v>
      </c>
      <c r="P61" s="1" t="s">
        <v>116</v>
      </c>
      <c r="Q61" s="1" t="s">
        <v>21</v>
      </c>
      <c r="R61" s="1" t="s">
        <v>87</v>
      </c>
      <c r="S61">
        <v>109</v>
      </c>
      <c r="T61" s="1" t="s">
        <v>282</v>
      </c>
    </row>
    <row r="62" spans="1:20" x14ac:dyDescent="0.3">
      <c r="A62" s="1" t="s">
        <v>283</v>
      </c>
      <c r="B62" s="1" t="s">
        <v>56</v>
      </c>
      <c r="C62">
        <v>70</v>
      </c>
      <c r="D62" s="1" t="s">
        <v>23</v>
      </c>
      <c r="E62" s="1" t="s">
        <v>36</v>
      </c>
      <c r="F62" s="1" t="s">
        <v>114</v>
      </c>
      <c r="G62" s="1" t="s">
        <v>85</v>
      </c>
      <c r="H62" s="1" t="s">
        <v>92</v>
      </c>
      <c r="I62">
        <v>1007</v>
      </c>
      <c r="J62">
        <v>2950</v>
      </c>
      <c r="K62">
        <v>5534</v>
      </c>
      <c r="L62">
        <v>7951</v>
      </c>
      <c r="M62">
        <v>17442</v>
      </c>
      <c r="N62" s="2">
        <v>46011</v>
      </c>
      <c r="O62" s="2">
        <v>45786</v>
      </c>
      <c r="P62" s="1" t="s">
        <v>116</v>
      </c>
      <c r="Q62" s="1" t="s">
        <v>9</v>
      </c>
      <c r="R62" s="1" t="s">
        <v>17</v>
      </c>
      <c r="S62">
        <v>209</v>
      </c>
      <c r="T62" s="1" t="s">
        <v>284</v>
      </c>
    </row>
    <row r="63" spans="1:20" x14ac:dyDescent="0.3">
      <c r="A63" s="1" t="s">
        <v>285</v>
      </c>
      <c r="B63" s="1" t="s">
        <v>286</v>
      </c>
      <c r="C63">
        <v>46</v>
      </c>
      <c r="D63" s="1" t="s">
        <v>12</v>
      </c>
      <c r="E63" s="1" t="s">
        <v>27</v>
      </c>
      <c r="F63" s="1" t="s">
        <v>124</v>
      </c>
      <c r="G63" s="1" t="s">
        <v>176</v>
      </c>
      <c r="H63" s="1" t="s">
        <v>18</v>
      </c>
      <c r="I63">
        <v>1110</v>
      </c>
      <c r="J63">
        <v>2748</v>
      </c>
      <c r="K63">
        <v>366</v>
      </c>
      <c r="L63">
        <v>10272</v>
      </c>
      <c r="M63">
        <v>14496</v>
      </c>
      <c r="N63" s="2">
        <v>46009</v>
      </c>
      <c r="O63" s="2">
        <v>45683</v>
      </c>
      <c r="P63" s="1" t="s">
        <v>136</v>
      </c>
      <c r="Q63" s="1" t="s">
        <v>21</v>
      </c>
      <c r="R63" s="1" t="s">
        <v>22</v>
      </c>
      <c r="S63">
        <v>721</v>
      </c>
      <c r="T63" s="1" t="s">
        <v>287</v>
      </c>
    </row>
    <row r="64" spans="1:20" x14ac:dyDescent="0.3">
      <c r="A64" s="1" t="s">
        <v>288</v>
      </c>
      <c r="B64" s="1" t="s">
        <v>289</v>
      </c>
      <c r="C64">
        <v>82</v>
      </c>
      <c r="D64" s="1" t="s">
        <v>23</v>
      </c>
      <c r="E64" s="1" t="s">
        <v>20</v>
      </c>
      <c r="F64" s="1" t="s">
        <v>124</v>
      </c>
      <c r="G64" s="1" t="s">
        <v>104</v>
      </c>
      <c r="H64" s="1" t="s">
        <v>86</v>
      </c>
      <c r="I64">
        <v>498</v>
      </c>
      <c r="J64">
        <v>822</v>
      </c>
      <c r="K64">
        <v>2830</v>
      </c>
      <c r="L64">
        <v>13920</v>
      </c>
      <c r="M64">
        <v>18070</v>
      </c>
      <c r="N64" s="2">
        <v>45883</v>
      </c>
      <c r="O64" s="2">
        <v>45675</v>
      </c>
      <c r="P64" s="1" t="s">
        <v>136</v>
      </c>
      <c r="Q64" s="1" t="s">
        <v>31</v>
      </c>
      <c r="R64" s="1" t="s">
        <v>22</v>
      </c>
      <c r="S64">
        <v>402</v>
      </c>
      <c r="T64" s="1" t="s">
        <v>290</v>
      </c>
    </row>
    <row r="65" spans="1:20" x14ac:dyDescent="0.3">
      <c r="A65" s="1" t="s">
        <v>291</v>
      </c>
      <c r="B65" s="1" t="s">
        <v>30</v>
      </c>
      <c r="C65">
        <v>26</v>
      </c>
      <c r="D65" s="1" t="s">
        <v>23</v>
      </c>
      <c r="E65" s="1" t="s">
        <v>24</v>
      </c>
      <c r="F65" s="1" t="s">
        <v>97</v>
      </c>
      <c r="G65" s="1" t="s">
        <v>125</v>
      </c>
      <c r="H65" s="1" t="s">
        <v>165</v>
      </c>
      <c r="I65">
        <v>636</v>
      </c>
      <c r="J65">
        <v>2605</v>
      </c>
      <c r="K65">
        <v>7787</v>
      </c>
      <c r="L65">
        <v>14511</v>
      </c>
      <c r="M65">
        <v>25539</v>
      </c>
      <c r="N65" s="2">
        <v>45904</v>
      </c>
      <c r="O65" s="2">
        <v>45809</v>
      </c>
      <c r="P65" s="1" t="s">
        <v>177</v>
      </c>
      <c r="Q65" s="1" t="s">
        <v>16</v>
      </c>
      <c r="R65" s="1" t="s">
        <v>22</v>
      </c>
      <c r="S65">
        <v>872</v>
      </c>
      <c r="T65" s="1" t="s">
        <v>292</v>
      </c>
    </row>
    <row r="66" spans="1:20" x14ac:dyDescent="0.3">
      <c r="A66" s="1" t="s">
        <v>293</v>
      </c>
      <c r="B66" s="1" t="s">
        <v>294</v>
      </c>
      <c r="C66">
        <v>47</v>
      </c>
      <c r="D66" s="1" t="s">
        <v>23</v>
      </c>
      <c r="E66" s="1" t="s">
        <v>38</v>
      </c>
      <c r="F66" s="1" t="s">
        <v>120</v>
      </c>
      <c r="G66" s="1" t="s">
        <v>176</v>
      </c>
      <c r="H66" s="1" t="s">
        <v>18</v>
      </c>
      <c r="I66">
        <v>841</v>
      </c>
      <c r="J66">
        <v>4895</v>
      </c>
      <c r="K66">
        <v>1312</v>
      </c>
      <c r="L66">
        <v>8451</v>
      </c>
      <c r="M66">
        <v>15499</v>
      </c>
      <c r="N66" s="2">
        <v>45846</v>
      </c>
      <c r="O66" s="2">
        <v>46002</v>
      </c>
      <c r="P66" s="1" t="s">
        <v>14</v>
      </c>
      <c r="Q66" s="1" t="s">
        <v>21</v>
      </c>
      <c r="R66" s="1" t="s">
        <v>22</v>
      </c>
      <c r="S66">
        <v>791</v>
      </c>
      <c r="T66" s="1" t="s">
        <v>295</v>
      </c>
    </row>
    <row r="67" spans="1:20" x14ac:dyDescent="0.3">
      <c r="A67" s="1" t="s">
        <v>296</v>
      </c>
      <c r="B67" s="1" t="s">
        <v>59</v>
      </c>
      <c r="C67">
        <v>80</v>
      </c>
      <c r="D67" s="1" t="s">
        <v>12</v>
      </c>
      <c r="E67" s="1" t="s">
        <v>33</v>
      </c>
      <c r="F67" s="1" t="s">
        <v>84</v>
      </c>
      <c r="G67" s="1" t="s">
        <v>91</v>
      </c>
      <c r="H67" s="1" t="s">
        <v>37</v>
      </c>
      <c r="I67">
        <v>1250</v>
      </c>
      <c r="J67">
        <v>2975</v>
      </c>
      <c r="K67">
        <v>5618</v>
      </c>
      <c r="L67">
        <v>7689</v>
      </c>
      <c r="M67">
        <v>17532</v>
      </c>
      <c r="N67" s="2">
        <v>45717</v>
      </c>
      <c r="O67" s="2">
        <v>45729</v>
      </c>
      <c r="P67" s="1" t="s">
        <v>34</v>
      </c>
      <c r="Q67" s="1" t="s">
        <v>9</v>
      </c>
      <c r="R67" s="1" t="s">
        <v>22</v>
      </c>
      <c r="S67">
        <v>199</v>
      </c>
      <c r="T67" s="1" t="s">
        <v>297</v>
      </c>
    </row>
    <row r="68" spans="1:20" x14ac:dyDescent="0.3">
      <c r="A68" s="1" t="s">
        <v>298</v>
      </c>
      <c r="B68" s="1" t="s">
        <v>299</v>
      </c>
      <c r="C68">
        <v>50</v>
      </c>
      <c r="D68" s="1" t="s">
        <v>12</v>
      </c>
      <c r="E68" s="1" t="s">
        <v>36</v>
      </c>
      <c r="F68" s="1" t="s">
        <v>97</v>
      </c>
      <c r="G68" s="1" t="s">
        <v>158</v>
      </c>
      <c r="H68" s="1" t="s">
        <v>199</v>
      </c>
      <c r="I68">
        <v>616</v>
      </c>
      <c r="J68">
        <v>3898</v>
      </c>
      <c r="K68">
        <v>5665</v>
      </c>
      <c r="L68">
        <v>2622</v>
      </c>
      <c r="M68">
        <v>12801</v>
      </c>
      <c r="N68" s="2">
        <v>45908</v>
      </c>
      <c r="O68" s="2">
        <v>45973</v>
      </c>
      <c r="P68" s="1" t="s">
        <v>93</v>
      </c>
      <c r="Q68" s="1" t="s">
        <v>21</v>
      </c>
      <c r="R68" s="1" t="s">
        <v>22</v>
      </c>
      <c r="S68">
        <v>554</v>
      </c>
      <c r="T68" s="1" t="s">
        <v>300</v>
      </c>
    </row>
    <row r="69" spans="1:20" x14ac:dyDescent="0.3">
      <c r="A69" s="1" t="s">
        <v>301</v>
      </c>
      <c r="B69" s="1" t="s">
        <v>302</v>
      </c>
      <c r="C69">
        <v>13</v>
      </c>
      <c r="D69" s="1" t="s">
        <v>12</v>
      </c>
      <c r="E69" s="1" t="s">
        <v>33</v>
      </c>
      <c r="F69" s="1" t="s">
        <v>97</v>
      </c>
      <c r="G69" s="1" t="s">
        <v>158</v>
      </c>
      <c r="H69" s="1" t="s">
        <v>29</v>
      </c>
      <c r="I69">
        <v>1115</v>
      </c>
      <c r="J69">
        <v>2760</v>
      </c>
      <c r="K69">
        <v>1854</v>
      </c>
      <c r="L69">
        <v>3001</v>
      </c>
      <c r="M69">
        <v>8730</v>
      </c>
      <c r="N69" s="2">
        <v>45890</v>
      </c>
      <c r="O69" s="2">
        <v>45704</v>
      </c>
      <c r="P69" s="1" t="s">
        <v>19</v>
      </c>
      <c r="Q69" s="1" t="s">
        <v>21</v>
      </c>
      <c r="R69" s="1" t="s">
        <v>22</v>
      </c>
      <c r="S69">
        <v>228</v>
      </c>
      <c r="T69" s="1" t="s">
        <v>303</v>
      </c>
    </row>
    <row r="70" spans="1:20" x14ac:dyDescent="0.3">
      <c r="A70" s="1" t="s">
        <v>304</v>
      </c>
      <c r="B70" s="1" t="s">
        <v>305</v>
      </c>
      <c r="C70">
        <v>9</v>
      </c>
      <c r="D70" s="1" t="s">
        <v>23</v>
      </c>
      <c r="E70" s="1" t="s">
        <v>15</v>
      </c>
      <c r="F70" s="1" t="s">
        <v>84</v>
      </c>
      <c r="G70" s="1" t="s">
        <v>98</v>
      </c>
      <c r="H70" s="1" t="s">
        <v>105</v>
      </c>
      <c r="I70">
        <v>972</v>
      </c>
      <c r="J70">
        <v>1708</v>
      </c>
      <c r="K70">
        <v>6760</v>
      </c>
      <c r="L70">
        <v>10764</v>
      </c>
      <c r="M70">
        <v>20204</v>
      </c>
      <c r="N70" s="2">
        <v>45659</v>
      </c>
      <c r="O70" s="2">
        <v>45799</v>
      </c>
      <c r="P70" s="1" t="s">
        <v>25</v>
      </c>
      <c r="Q70" s="1" t="s">
        <v>21</v>
      </c>
      <c r="R70" s="1" t="s">
        <v>22</v>
      </c>
      <c r="S70">
        <v>212</v>
      </c>
      <c r="T70" s="1" t="s">
        <v>306</v>
      </c>
    </row>
    <row r="71" spans="1:20" x14ac:dyDescent="0.3">
      <c r="A71" s="1" t="s">
        <v>307</v>
      </c>
      <c r="B71" s="1" t="s">
        <v>308</v>
      </c>
      <c r="C71">
        <v>2</v>
      </c>
      <c r="D71" s="1" t="s">
        <v>12</v>
      </c>
      <c r="E71" s="1" t="s">
        <v>24</v>
      </c>
      <c r="F71" s="1" t="s">
        <v>84</v>
      </c>
      <c r="G71" s="1" t="s">
        <v>104</v>
      </c>
      <c r="H71" s="1" t="s">
        <v>186</v>
      </c>
      <c r="I71">
        <v>332</v>
      </c>
      <c r="J71">
        <v>1927</v>
      </c>
      <c r="K71">
        <v>2473</v>
      </c>
      <c r="L71">
        <v>1858</v>
      </c>
      <c r="M71">
        <v>6590</v>
      </c>
      <c r="N71" s="2">
        <v>45722</v>
      </c>
      <c r="O71" s="2">
        <v>45873</v>
      </c>
      <c r="P71" s="1" t="s">
        <v>110</v>
      </c>
      <c r="Q71" s="1" t="s">
        <v>16</v>
      </c>
      <c r="R71" s="1" t="s">
        <v>17</v>
      </c>
      <c r="S71">
        <v>559</v>
      </c>
      <c r="T71" s="1" t="s">
        <v>309</v>
      </c>
    </row>
    <row r="72" spans="1:20" x14ac:dyDescent="0.3">
      <c r="A72" s="1" t="s">
        <v>310</v>
      </c>
      <c r="B72" s="1" t="s">
        <v>311</v>
      </c>
      <c r="C72">
        <v>76</v>
      </c>
      <c r="D72" s="1" t="s">
        <v>23</v>
      </c>
      <c r="E72" s="1" t="s">
        <v>27</v>
      </c>
      <c r="F72" s="1" t="s">
        <v>135</v>
      </c>
      <c r="G72" s="1" t="s">
        <v>176</v>
      </c>
      <c r="H72" s="1" t="s">
        <v>105</v>
      </c>
      <c r="I72">
        <v>388</v>
      </c>
      <c r="J72">
        <v>4771</v>
      </c>
      <c r="K72">
        <v>2770</v>
      </c>
      <c r="L72">
        <v>8504</v>
      </c>
      <c r="M72">
        <v>16433</v>
      </c>
      <c r="N72" s="2">
        <v>45987</v>
      </c>
      <c r="O72" s="2">
        <v>45673</v>
      </c>
      <c r="P72" s="1" t="s">
        <v>34</v>
      </c>
      <c r="Q72" s="1" t="s">
        <v>9</v>
      </c>
      <c r="R72" s="1" t="s">
        <v>17</v>
      </c>
      <c r="S72">
        <v>802</v>
      </c>
      <c r="T72" s="1" t="s">
        <v>312</v>
      </c>
    </row>
    <row r="73" spans="1:20" x14ac:dyDescent="0.3">
      <c r="A73" s="1" t="s">
        <v>313</v>
      </c>
      <c r="B73" s="1" t="s">
        <v>314</v>
      </c>
      <c r="C73">
        <v>10</v>
      </c>
      <c r="D73" s="1" t="s">
        <v>23</v>
      </c>
      <c r="E73" s="1" t="s">
        <v>20</v>
      </c>
      <c r="F73" s="1" t="s">
        <v>97</v>
      </c>
      <c r="G73" s="1" t="s">
        <v>125</v>
      </c>
      <c r="H73" s="1" t="s">
        <v>86</v>
      </c>
      <c r="I73">
        <v>434</v>
      </c>
      <c r="J73">
        <v>1533</v>
      </c>
      <c r="K73">
        <v>2552</v>
      </c>
      <c r="L73">
        <v>11228</v>
      </c>
      <c r="M73">
        <v>15747</v>
      </c>
      <c r="N73" s="2">
        <v>45982</v>
      </c>
      <c r="O73" s="2">
        <v>45957</v>
      </c>
      <c r="P73" s="1" t="s">
        <v>110</v>
      </c>
      <c r="Q73" s="1" t="s">
        <v>21</v>
      </c>
      <c r="R73" s="1" t="s">
        <v>17</v>
      </c>
      <c r="S73">
        <v>617</v>
      </c>
      <c r="T73" s="1" t="s">
        <v>315</v>
      </c>
    </row>
    <row r="74" spans="1:20" x14ac:dyDescent="0.3">
      <c r="A74" s="1" t="s">
        <v>316</v>
      </c>
      <c r="B74" s="1" t="s">
        <v>44</v>
      </c>
      <c r="C74">
        <v>15</v>
      </c>
      <c r="D74" s="1" t="s">
        <v>23</v>
      </c>
      <c r="E74" s="1" t="s">
        <v>24</v>
      </c>
      <c r="F74" s="1" t="s">
        <v>120</v>
      </c>
      <c r="G74" s="1" t="s">
        <v>91</v>
      </c>
      <c r="H74" s="1" t="s">
        <v>92</v>
      </c>
      <c r="I74">
        <v>767</v>
      </c>
      <c r="J74">
        <v>3889</v>
      </c>
      <c r="K74">
        <v>3076</v>
      </c>
      <c r="L74">
        <v>14556</v>
      </c>
      <c r="M74">
        <v>22288</v>
      </c>
      <c r="N74" s="2">
        <v>45890</v>
      </c>
      <c r="O74" s="2">
        <v>45862</v>
      </c>
      <c r="P74" s="1" t="s">
        <v>93</v>
      </c>
      <c r="Q74" s="1" t="s">
        <v>9</v>
      </c>
      <c r="R74" s="1" t="s">
        <v>17</v>
      </c>
      <c r="S74">
        <v>781</v>
      </c>
      <c r="T74" s="1" t="s">
        <v>317</v>
      </c>
    </row>
    <row r="75" spans="1:20" x14ac:dyDescent="0.3">
      <c r="A75" s="1" t="s">
        <v>318</v>
      </c>
      <c r="B75" s="1" t="s">
        <v>319</v>
      </c>
      <c r="C75">
        <v>61</v>
      </c>
      <c r="D75" s="1" t="s">
        <v>23</v>
      </c>
      <c r="E75" s="1" t="s">
        <v>33</v>
      </c>
      <c r="F75" s="1" t="s">
        <v>114</v>
      </c>
      <c r="G75" s="1" t="s">
        <v>98</v>
      </c>
      <c r="H75" s="1" t="s">
        <v>37</v>
      </c>
      <c r="I75">
        <v>490</v>
      </c>
      <c r="J75">
        <v>4037</v>
      </c>
      <c r="K75">
        <v>1091</v>
      </c>
      <c r="L75">
        <v>13199</v>
      </c>
      <c r="M75">
        <v>18817</v>
      </c>
      <c r="N75" s="2">
        <v>45848</v>
      </c>
      <c r="O75" s="2">
        <v>45724</v>
      </c>
      <c r="P75" s="1" t="s">
        <v>110</v>
      </c>
      <c r="Q75" s="1" t="s">
        <v>21</v>
      </c>
      <c r="R75" s="1" t="s">
        <v>87</v>
      </c>
      <c r="S75">
        <v>225</v>
      </c>
      <c r="T75" s="1" t="s">
        <v>320</v>
      </c>
    </row>
    <row r="76" spans="1:20" x14ac:dyDescent="0.3">
      <c r="A76" s="1" t="s">
        <v>321</v>
      </c>
      <c r="B76" s="1" t="s">
        <v>322</v>
      </c>
      <c r="C76">
        <v>7</v>
      </c>
      <c r="D76" s="1" t="s">
        <v>12</v>
      </c>
      <c r="E76" s="1" t="s">
        <v>24</v>
      </c>
      <c r="F76" s="1" t="s">
        <v>124</v>
      </c>
      <c r="G76" s="1" t="s">
        <v>91</v>
      </c>
      <c r="H76" s="1" t="s">
        <v>99</v>
      </c>
      <c r="I76">
        <v>512</v>
      </c>
      <c r="J76">
        <v>4656</v>
      </c>
      <c r="K76">
        <v>2042</v>
      </c>
      <c r="L76">
        <v>3535</v>
      </c>
      <c r="M76">
        <v>10745</v>
      </c>
      <c r="N76" s="2">
        <v>45994</v>
      </c>
      <c r="O76" s="2">
        <v>45904</v>
      </c>
      <c r="P76" s="1" t="s">
        <v>19</v>
      </c>
      <c r="Q76" s="1" t="s">
        <v>21</v>
      </c>
      <c r="R76" s="1" t="s">
        <v>22</v>
      </c>
      <c r="S76">
        <v>880</v>
      </c>
      <c r="T76" s="1" t="s">
        <v>323</v>
      </c>
    </row>
    <row r="77" spans="1:20" x14ac:dyDescent="0.3">
      <c r="A77" s="1" t="s">
        <v>324</v>
      </c>
      <c r="B77" s="1" t="s">
        <v>325</v>
      </c>
      <c r="C77">
        <v>55</v>
      </c>
      <c r="D77" s="1" t="s">
        <v>23</v>
      </c>
      <c r="E77" s="1" t="s">
        <v>33</v>
      </c>
      <c r="F77" s="1" t="s">
        <v>124</v>
      </c>
      <c r="G77" s="1" t="s">
        <v>85</v>
      </c>
      <c r="H77" s="1" t="s">
        <v>18</v>
      </c>
      <c r="I77">
        <v>669</v>
      </c>
      <c r="J77">
        <v>2738</v>
      </c>
      <c r="K77">
        <v>6056</v>
      </c>
      <c r="L77">
        <v>13491</v>
      </c>
      <c r="M77">
        <v>22954</v>
      </c>
      <c r="N77" s="2">
        <v>45816</v>
      </c>
      <c r="O77" s="2">
        <v>45831</v>
      </c>
      <c r="P77" s="1" t="s">
        <v>177</v>
      </c>
      <c r="Q77" s="1" t="s">
        <v>31</v>
      </c>
      <c r="R77" s="1" t="s">
        <v>87</v>
      </c>
      <c r="S77">
        <v>773</v>
      </c>
      <c r="T77" s="1" t="s">
        <v>326</v>
      </c>
    </row>
    <row r="78" spans="1:20" x14ac:dyDescent="0.3">
      <c r="A78" s="1" t="s">
        <v>327</v>
      </c>
      <c r="B78" s="1" t="s">
        <v>328</v>
      </c>
      <c r="C78">
        <v>82</v>
      </c>
      <c r="D78" s="1" t="s">
        <v>23</v>
      </c>
      <c r="E78" s="1" t="s">
        <v>20</v>
      </c>
      <c r="F78" s="1" t="s">
        <v>114</v>
      </c>
      <c r="G78" s="1" t="s">
        <v>176</v>
      </c>
      <c r="H78" s="1" t="s">
        <v>115</v>
      </c>
      <c r="I78">
        <v>1070</v>
      </c>
      <c r="J78">
        <v>3939</v>
      </c>
      <c r="K78">
        <v>4016</v>
      </c>
      <c r="L78">
        <v>6585</v>
      </c>
      <c r="M78">
        <v>15610</v>
      </c>
      <c r="N78" s="2">
        <v>45738</v>
      </c>
      <c r="O78" s="2">
        <v>45847</v>
      </c>
      <c r="P78" s="1" t="s">
        <v>14</v>
      </c>
      <c r="Q78" s="1" t="s">
        <v>16</v>
      </c>
      <c r="R78" s="1" t="s">
        <v>22</v>
      </c>
      <c r="S78">
        <v>259</v>
      </c>
      <c r="T78" s="1" t="s">
        <v>329</v>
      </c>
    </row>
    <row r="79" spans="1:20" x14ac:dyDescent="0.3">
      <c r="A79" s="1" t="s">
        <v>330</v>
      </c>
      <c r="B79" s="1" t="s">
        <v>331</v>
      </c>
      <c r="C79">
        <v>11</v>
      </c>
      <c r="D79" s="1" t="s">
        <v>12</v>
      </c>
      <c r="E79" s="1" t="s">
        <v>20</v>
      </c>
      <c r="F79" s="1" t="s">
        <v>135</v>
      </c>
      <c r="G79" s="1" t="s">
        <v>125</v>
      </c>
      <c r="H79" s="1" t="s">
        <v>199</v>
      </c>
      <c r="I79">
        <v>1294</v>
      </c>
      <c r="J79">
        <v>4121</v>
      </c>
      <c r="K79">
        <v>3692</v>
      </c>
      <c r="L79">
        <v>5475</v>
      </c>
      <c r="M79">
        <v>14582</v>
      </c>
      <c r="N79" s="2">
        <v>45768</v>
      </c>
      <c r="O79" s="2">
        <v>45920</v>
      </c>
      <c r="P79" s="1" t="s">
        <v>35</v>
      </c>
      <c r="Q79" s="1" t="s">
        <v>16</v>
      </c>
      <c r="R79" s="1" t="s">
        <v>17</v>
      </c>
      <c r="S79">
        <v>794</v>
      </c>
      <c r="T79" s="1" t="s">
        <v>332</v>
      </c>
    </row>
    <row r="80" spans="1:20" x14ac:dyDescent="0.3">
      <c r="A80" s="1" t="s">
        <v>333</v>
      </c>
      <c r="B80" s="1" t="s">
        <v>334</v>
      </c>
      <c r="C80">
        <v>68</v>
      </c>
      <c r="D80" s="1" t="s">
        <v>12</v>
      </c>
      <c r="E80" s="1" t="s">
        <v>36</v>
      </c>
      <c r="F80" s="1" t="s">
        <v>103</v>
      </c>
      <c r="G80" s="1" t="s">
        <v>91</v>
      </c>
      <c r="H80" s="1" t="s">
        <v>105</v>
      </c>
      <c r="I80">
        <v>1109</v>
      </c>
      <c r="J80">
        <v>948</v>
      </c>
      <c r="K80">
        <v>362</v>
      </c>
      <c r="L80">
        <v>4349</v>
      </c>
      <c r="M80">
        <v>6768</v>
      </c>
      <c r="N80" s="2">
        <v>45812</v>
      </c>
      <c r="O80" s="2">
        <v>45766</v>
      </c>
      <c r="P80" s="1" t="s">
        <v>25</v>
      </c>
      <c r="Q80" s="1" t="s">
        <v>21</v>
      </c>
      <c r="R80" s="1" t="s">
        <v>22</v>
      </c>
      <c r="S80">
        <v>107</v>
      </c>
      <c r="T80" s="1" t="s">
        <v>335</v>
      </c>
    </row>
    <row r="81" spans="1:20" x14ac:dyDescent="0.3">
      <c r="A81" s="1" t="s">
        <v>336</v>
      </c>
      <c r="B81" s="1" t="s">
        <v>30</v>
      </c>
      <c r="C81">
        <v>17</v>
      </c>
      <c r="D81" s="1" t="s">
        <v>12</v>
      </c>
      <c r="E81" s="1" t="s">
        <v>27</v>
      </c>
      <c r="F81" s="1" t="s">
        <v>84</v>
      </c>
      <c r="G81" s="1" t="s">
        <v>158</v>
      </c>
      <c r="H81" s="1" t="s">
        <v>99</v>
      </c>
      <c r="I81">
        <v>447</v>
      </c>
      <c r="J81">
        <v>3752</v>
      </c>
      <c r="K81">
        <v>7359</v>
      </c>
      <c r="L81">
        <v>13157</v>
      </c>
      <c r="M81">
        <v>24715</v>
      </c>
      <c r="N81" s="2">
        <v>45679</v>
      </c>
      <c r="O81" s="2">
        <v>45881</v>
      </c>
      <c r="P81" s="1" t="s">
        <v>34</v>
      </c>
      <c r="Q81" s="1" t="s">
        <v>21</v>
      </c>
      <c r="R81" s="1" t="s">
        <v>87</v>
      </c>
      <c r="S81">
        <v>539</v>
      </c>
      <c r="T81" s="1" t="s">
        <v>337</v>
      </c>
    </row>
    <row r="82" spans="1:20" x14ac:dyDescent="0.3">
      <c r="A82" s="1" t="s">
        <v>338</v>
      </c>
      <c r="B82" s="1" t="s">
        <v>208</v>
      </c>
      <c r="C82">
        <v>38</v>
      </c>
      <c r="D82" s="1" t="s">
        <v>23</v>
      </c>
      <c r="E82" s="1" t="s">
        <v>24</v>
      </c>
      <c r="F82" s="1" t="s">
        <v>120</v>
      </c>
      <c r="G82" s="1" t="s">
        <v>125</v>
      </c>
      <c r="H82" s="1" t="s">
        <v>18</v>
      </c>
      <c r="I82">
        <v>965</v>
      </c>
      <c r="J82">
        <v>1907</v>
      </c>
      <c r="K82">
        <v>6864</v>
      </c>
      <c r="L82">
        <v>11127</v>
      </c>
      <c r="M82">
        <v>20863</v>
      </c>
      <c r="N82" s="2">
        <v>45893</v>
      </c>
      <c r="O82" s="2">
        <v>46011</v>
      </c>
      <c r="P82" s="1" t="s">
        <v>177</v>
      </c>
      <c r="Q82" s="1" t="s">
        <v>16</v>
      </c>
      <c r="R82" s="1" t="s">
        <v>22</v>
      </c>
      <c r="S82">
        <v>546</v>
      </c>
      <c r="T82" s="1" t="s">
        <v>339</v>
      </c>
    </row>
    <row r="83" spans="1:20" x14ac:dyDescent="0.3">
      <c r="A83" s="1" t="s">
        <v>340</v>
      </c>
      <c r="B83" s="1" t="s">
        <v>341</v>
      </c>
      <c r="C83">
        <v>11</v>
      </c>
      <c r="D83" s="1" t="s">
        <v>12</v>
      </c>
      <c r="E83" s="1" t="s">
        <v>40</v>
      </c>
      <c r="F83" s="1" t="s">
        <v>124</v>
      </c>
      <c r="G83" s="1" t="s">
        <v>176</v>
      </c>
      <c r="H83" s="1" t="s">
        <v>186</v>
      </c>
      <c r="I83">
        <v>753</v>
      </c>
      <c r="J83">
        <v>3228</v>
      </c>
      <c r="K83">
        <v>6682</v>
      </c>
      <c r="L83">
        <v>3754</v>
      </c>
      <c r="M83">
        <v>14417</v>
      </c>
      <c r="N83" s="2">
        <v>45697</v>
      </c>
      <c r="O83" s="2">
        <v>45919</v>
      </c>
      <c r="P83" s="1" t="s">
        <v>35</v>
      </c>
      <c r="Q83" s="1" t="s">
        <v>21</v>
      </c>
      <c r="R83" s="1" t="s">
        <v>17</v>
      </c>
      <c r="S83">
        <v>844</v>
      </c>
      <c r="T83" s="1" t="s">
        <v>342</v>
      </c>
    </row>
    <row r="84" spans="1:20" x14ac:dyDescent="0.3">
      <c r="A84" s="1" t="s">
        <v>343</v>
      </c>
      <c r="B84" s="1" t="s">
        <v>344</v>
      </c>
      <c r="C84">
        <v>14</v>
      </c>
      <c r="D84" s="1" t="s">
        <v>23</v>
      </c>
      <c r="E84" s="1" t="s">
        <v>27</v>
      </c>
      <c r="F84" s="1" t="s">
        <v>124</v>
      </c>
      <c r="G84" s="1" t="s">
        <v>125</v>
      </c>
      <c r="H84" s="1" t="s">
        <v>115</v>
      </c>
      <c r="I84">
        <v>655</v>
      </c>
      <c r="J84">
        <v>1752</v>
      </c>
      <c r="K84">
        <v>6527</v>
      </c>
      <c r="L84">
        <v>13437</v>
      </c>
      <c r="M84">
        <v>22371</v>
      </c>
      <c r="N84" s="2">
        <v>45993</v>
      </c>
      <c r="O84" s="2">
        <v>45696</v>
      </c>
      <c r="P84" s="1" t="s">
        <v>25</v>
      </c>
      <c r="Q84" s="1" t="s">
        <v>9</v>
      </c>
      <c r="R84" s="1" t="s">
        <v>87</v>
      </c>
      <c r="S84">
        <v>678</v>
      </c>
      <c r="T84" s="1" t="s">
        <v>345</v>
      </c>
    </row>
    <row r="85" spans="1:20" x14ac:dyDescent="0.3">
      <c r="A85" s="1" t="s">
        <v>346</v>
      </c>
      <c r="B85" s="1" t="s">
        <v>192</v>
      </c>
      <c r="C85">
        <v>81</v>
      </c>
      <c r="D85" s="1" t="s">
        <v>12</v>
      </c>
      <c r="E85" s="1" t="s">
        <v>33</v>
      </c>
      <c r="F85" s="1" t="s">
        <v>109</v>
      </c>
      <c r="G85" s="1" t="s">
        <v>91</v>
      </c>
      <c r="H85" s="1" t="s">
        <v>92</v>
      </c>
      <c r="I85">
        <v>439</v>
      </c>
      <c r="J85">
        <v>4341</v>
      </c>
      <c r="K85">
        <v>3922</v>
      </c>
      <c r="L85">
        <v>11344</v>
      </c>
      <c r="M85">
        <v>20046</v>
      </c>
      <c r="N85" s="2">
        <v>45813</v>
      </c>
      <c r="O85" s="2">
        <v>45798</v>
      </c>
      <c r="P85" s="1" t="s">
        <v>136</v>
      </c>
      <c r="Q85" s="1" t="s">
        <v>16</v>
      </c>
      <c r="R85" s="1" t="s">
        <v>17</v>
      </c>
      <c r="S85">
        <v>572</v>
      </c>
      <c r="T85" s="1" t="s">
        <v>347</v>
      </c>
    </row>
    <row r="86" spans="1:20" x14ac:dyDescent="0.3">
      <c r="A86" s="1" t="s">
        <v>348</v>
      </c>
      <c r="B86" s="1" t="s">
        <v>349</v>
      </c>
      <c r="C86">
        <v>48</v>
      </c>
      <c r="D86" s="1" t="s">
        <v>12</v>
      </c>
      <c r="E86" s="1" t="s">
        <v>40</v>
      </c>
      <c r="F86" s="1" t="s">
        <v>114</v>
      </c>
      <c r="G86" s="1" t="s">
        <v>91</v>
      </c>
      <c r="H86" s="1" t="s">
        <v>37</v>
      </c>
      <c r="I86">
        <v>1338</v>
      </c>
      <c r="J86">
        <v>3649</v>
      </c>
      <c r="K86">
        <v>4090</v>
      </c>
      <c r="L86">
        <v>10508</v>
      </c>
      <c r="M86">
        <v>19585</v>
      </c>
      <c r="N86" s="2">
        <v>45941</v>
      </c>
      <c r="O86" s="2">
        <v>45679</v>
      </c>
      <c r="P86" s="1" t="s">
        <v>116</v>
      </c>
      <c r="Q86" s="1" t="s">
        <v>9</v>
      </c>
      <c r="R86" s="1" t="s">
        <v>87</v>
      </c>
      <c r="S86">
        <v>254</v>
      </c>
      <c r="T86" s="1" t="s">
        <v>350</v>
      </c>
    </row>
    <row r="87" spans="1:20" x14ac:dyDescent="0.3">
      <c r="A87" s="1" t="s">
        <v>351</v>
      </c>
      <c r="B87" s="1" t="s">
        <v>52</v>
      </c>
      <c r="C87">
        <v>44</v>
      </c>
      <c r="D87" s="1" t="s">
        <v>23</v>
      </c>
      <c r="E87" s="1" t="s">
        <v>20</v>
      </c>
      <c r="F87" s="1" t="s">
        <v>109</v>
      </c>
      <c r="G87" s="1" t="s">
        <v>91</v>
      </c>
      <c r="H87" s="1" t="s">
        <v>29</v>
      </c>
      <c r="I87">
        <v>807</v>
      </c>
      <c r="J87">
        <v>4086</v>
      </c>
      <c r="K87">
        <v>3899</v>
      </c>
      <c r="L87">
        <v>9586</v>
      </c>
      <c r="M87">
        <v>18378</v>
      </c>
      <c r="N87" s="2">
        <v>45925</v>
      </c>
      <c r="O87" s="2">
        <v>45970</v>
      </c>
      <c r="P87" s="1" t="s">
        <v>25</v>
      </c>
      <c r="Q87" s="1" t="s">
        <v>21</v>
      </c>
      <c r="R87" s="1" t="s">
        <v>17</v>
      </c>
      <c r="S87">
        <v>518</v>
      </c>
      <c r="T87" s="1" t="s">
        <v>352</v>
      </c>
    </row>
    <row r="88" spans="1:20" x14ac:dyDescent="0.3">
      <c r="A88" s="1" t="s">
        <v>353</v>
      </c>
      <c r="B88" s="1" t="s">
        <v>354</v>
      </c>
      <c r="C88">
        <v>7</v>
      </c>
      <c r="D88" s="1" t="s">
        <v>12</v>
      </c>
      <c r="E88" s="1" t="s">
        <v>20</v>
      </c>
      <c r="F88" s="1" t="s">
        <v>114</v>
      </c>
      <c r="G88" s="1" t="s">
        <v>158</v>
      </c>
      <c r="H88" s="1" t="s">
        <v>186</v>
      </c>
      <c r="I88">
        <v>493</v>
      </c>
      <c r="J88">
        <v>3666</v>
      </c>
      <c r="K88">
        <v>2627</v>
      </c>
      <c r="L88">
        <v>5128</v>
      </c>
      <c r="M88">
        <v>11914</v>
      </c>
      <c r="N88" s="2">
        <v>45994</v>
      </c>
      <c r="O88" s="2">
        <v>45966</v>
      </c>
      <c r="P88" s="1" t="s">
        <v>25</v>
      </c>
      <c r="Q88" s="1" t="s">
        <v>31</v>
      </c>
      <c r="R88" s="1" t="s">
        <v>17</v>
      </c>
      <c r="S88">
        <v>417</v>
      </c>
      <c r="T88" s="1" t="s">
        <v>355</v>
      </c>
    </row>
    <row r="89" spans="1:20" x14ac:dyDescent="0.3">
      <c r="A89" s="1" t="s">
        <v>356</v>
      </c>
      <c r="B89" s="1" t="s">
        <v>273</v>
      </c>
      <c r="C89">
        <v>77</v>
      </c>
      <c r="D89" s="1" t="s">
        <v>23</v>
      </c>
      <c r="E89" s="1" t="s">
        <v>38</v>
      </c>
      <c r="F89" s="1" t="s">
        <v>124</v>
      </c>
      <c r="G89" s="1" t="s">
        <v>98</v>
      </c>
      <c r="H89" s="1" t="s">
        <v>155</v>
      </c>
      <c r="I89">
        <v>972</v>
      </c>
      <c r="J89">
        <v>1546</v>
      </c>
      <c r="K89">
        <v>5789</v>
      </c>
      <c r="L89">
        <v>12515</v>
      </c>
      <c r="M89">
        <v>20822</v>
      </c>
      <c r="N89" s="2">
        <v>46008</v>
      </c>
      <c r="O89" s="2">
        <v>45927</v>
      </c>
      <c r="P89" s="1" t="s">
        <v>35</v>
      </c>
      <c r="Q89" s="1" t="s">
        <v>21</v>
      </c>
      <c r="R89" s="1" t="s">
        <v>22</v>
      </c>
      <c r="S89">
        <v>471</v>
      </c>
      <c r="T89" s="1" t="s">
        <v>357</v>
      </c>
    </row>
    <row r="90" spans="1:20" x14ac:dyDescent="0.3">
      <c r="A90" s="1" t="s">
        <v>358</v>
      </c>
      <c r="B90" s="1" t="s">
        <v>359</v>
      </c>
      <c r="C90">
        <v>44</v>
      </c>
      <c r="D90" s="1" t="s">
        <v>12</v>
      </c>
      <c r="E90" s="1" t="s">
        <v>33</v>
      </c>
      <c r="F90" s="1" t="s">
        <v>84</v>
      </c>
      <c r="G90" s="1" t="s">
        <v>104</v>
      </c>
      <c r="H90" s="1" t="s">
        <v>105</v>
      </c>
      <c r="I90">
        <v>581</v>
      </c>
      <c r="J90">
        <v>1769</v>
      </c>
      <c r="K90">
        <v>932</v>
      </c>
      <c r="L90">
        <v>5846</v>
      </c>
      <c r="M90">
        <v>9128</v>
      </c>
      <c r="N90" s="2">
        <v>45709</v>
      </c>
      <c r="O90" s="2">
        <v>45917</v>
      </c>
      <c r="P90" s="1" t="s">
        <v>110</v>
      </c>
      <c r="Q90" s="1" t="s">
        <v>21</v>
      </c>
      <c r="R90" s="1" t="s">
        <v>87</v>
      </c>
      <c r="S90">
        <v>234</v>
      </c>
      <c r="T90" s="1" t="s">
        <v>360</v>
      </c>
    </row>
    <row r="91" spans="1:20" x14ac:dyDescent="0.3">
      <c r="A91" s="1" t="s">
        <v>361</v>
      </c>
      <c r="B91" s="1" t="s">
        <v>273</v>
      </c>
      <c r="C91">
        <v>21</v>
      </c>
      <c r="D91" s="1" t="s">
        <v>23</v>
      </c>
      <c r="E91" s="1" t="s">
        <v>36</v>
      </c>
      <c r="F91" s="1" t="s">
        <v>109</v>
      </c>
      <c r="G91" s="1" t="s">
        <v>176</v>
      </c>
      <c r="H91" s="1" t="s">
        <v>92</v>
      </c>
      <c r="I91">
        <v>389</v>
      </c>
      <c r="J91">
        <v>3865</v>
      </c>
      <c r="K91">
        <v>3284</v>
      </c>
      <c r="L91">
        <v>12081</v>
      </c>
      <c r="M91">
        <v>19619</v>
      </c>
      <c r="N91" s="2">
        <v>45779</v>
      </c>
      <c r="O91" s="2">
        <v>45885</v>
      </c>
      <c r="P91" s="1" t="s">
        <v>136</v>
      </c>
      <c r="Q91" s="1" t="s">
        <v>9</v>
      </c>
      <c r="R91" s="1" t="s">
        <v>22</v>
      </c>
      <c r="S91">
        <v>646</v>
      </c>
      <c r="T91" s="1" t="s">
        <v>362</v>
      </c>
    </row>
    <row r="92" spans="1:20" x14ac:dyDescent="0.3">
      <c r="A92" s="1" t="s">
        <v>363</v>
      </c>
      <c r="B92" s="1" t="s">
        <v>364</v>
      </c>
      <c r="C92">
        <v>25</v>
      </c>
      <c r="D92" s="1" t="s">
        <v>12</v>
      </c>
      <c r="E92" s="1" t="s">
        <v>15</v>
      </c>
      <c r="F92" s="1" t="s">
        <v>135</v>
      </c>
      <c r="G92" s="1" t="s">
        <v>176</v>
      </c>
      <c r="H92" s="1" t="s">
        <v>92</v>
      </c>
      <c r="I92">
        <v>877</v>
      </c>
      <c r="J92">
        <v>3628</v>
      </c>
      <c r="K92">
        <v>4419</v>
      </c>
      <c r="L92">
        <v>9641</v>
      </c>
      <c r="M92">
        <v>18565</v>
      </c>
      <c r="N92" s="2">
        <v>45872</v>
      </c>
      <c r="O92" s="2">
        <v>45740</v>
      </c>
      <c r="P92" s="1" t="s">
        <v>19</v>
      </c>
      <c r="Q92" s="1" t="s">
        <v>21</v>
      </c>
      <c r="R92" s="1" t="s">
        <v>22</v>
      </c>
      <c r="S92">
        <v>756</v>
      </c>
      <c r="T92" s="1" t="s">
        <v>365</v>
      </c>
    </row>
    <row r="93" spans="1:20" x14ac:dyDescent="0.3">
      <c r="A93" s="1" t="s">
        <v>366</v>
      </c>
      <c r="B93" s="1" t="s">
        <v>367</v>
      </c>
      <c r="C93">
        <v>14</v>
      </c>
      <c r="D93" s="1" t="s">
        <v>23</v>
      </c>
      <c r="E93" s="1" t="s">
        <v>40</v>
      </c>
      <c r="F93" s="1" t="s">
        <v>124</v>
      </c>
      <c r="G93" s="1" t="s">
        <v>176</v>
      </c>
      <c r="H93" s="1" t="s">
        <v>37</v>
      </c>
      <c r="I93">
        <v>628</v>
      </c>
      <c r="J93">
        <v>2734</v>
      </c>
      <c r="K93">
        <v>3980</v>
      </c>
      <c r="L93">
        <v>9410</v>
      </c>
      <c r="M93">
        <v>16752</v>
      </c>
      <c r="N93" s="2">
        <v>45733</v>
      </c>
      <c r="O93" s="2">
        <v>45881</v>
      </c>
      <c r="P93" s="1" t="s">
        <v>35</v>
      </c>
      <c r="Q93" s="1" t="s">
        <v>9</v>
      </c>
      <c r="R93" s="1" t="s">
        <v>17</v>
      </c>
      <c r="S93">
        <v>127</v>
      </c>
      <c r="T93" s="1" t="s">
        <v>368</v>
      </c>
    </row>
    <row r="94" spans="1:20" x14ac:dyDescent="0.3">
      <c r="A94" s="1" t="s">
        <v>369</v>
      </c>
      <c r="B94" s="1" t="s">
        <v>370</v>
      </c>
      <c r="C94">
        <v>65</v>
      </c>
      <c r="D94" s="1" t="s">
        <v>12</v>
      </c>
      <c r="E94" s="1" t="s">
        <v>15</v>
      </c>
      <c r="F94" s="1" t="s">
        <v>84</v>
      </c>
      <c r="G94" s="1" t="s">
        <v>85</v>
      </c>
      <c r="H94" s="1" t="s">
        <v>155</v>
      </c>
      <c r="I94">
        <v>467</v>
      </c>
      <c r="J94">
        <v>3571</v>
      </c>
      <c r="K94">
        <v>2139</v>
      </c>
      <c r="L94">
        <v>1461</v>
      </c>
      <c r="M94">
        <v>7638</v>
      </c>
      <c r="N94" s="2">
        <v>45821</v>
      </c>
      <c r="O94" s="2">
        <v>45708</v>
      </c>
      <c r="P94" s="1" t="s">
        <v>177</v>
      </c>
      <c r="Q94" s="1" t="s">
        <v>16</v>
      </c>
      <c r="R94" s="1" t="s">
        <v>17</v>
      </c>
      <c r="S94">
        <v>949</v>
      </c>
      <c r="T94" s="1" t="s">
        <v>371</v>
      </c>
    </row>
    <row r="95" spans="1:20" x14ac:dyDescent="0.3">
      <c r="A95" s="1" t="s">
        <v>372</v>
      </c>
      <c r="B95" s="1" t="s">
        <v>239</v>
      </c>
      <c r="C95">
        <v>58</v>
      </c>
      <c r="D95" s="1" t="s">
        <v>23</v>
      </c>
      <c r="E95" s="1" t="s">
        <v>38</v>
      </c>
      <c r="F95" s="1" t="s">
        <v>114</v>
      </c>
      <c r="G95" s="1" t="s">
        <v>158</v>
      </c>
      <c r="H95" s="1" t="s">
        <v>18</v>
      </c>
      <c r="I95">
        <v>824</v>
      </c>
      <c r="J95">
        <v>2266</v>
      </c>
      <c r="K95">
        <v>7140</v>
      </c>
      <c r="L95">
        <v>3449</v>
      </c>
      <c r="M95">
        <v>13679</v>
      </c>
      <c r="N95" s="2">
        <v>45938</v>
      </c>
      <c r="O95" s="2">
        <v>45969</v>
      </c>
      <c r="P95" s="1" t="s">
        <v>110</v>
      </c>
      <c r="Q95" s="1" t="s">
        <v>21</v>
      </c>
      <c r="R95" s="1" t="s">
        <v>22</v>
      </c>
      <c r="S95">
        <v>408</v>
      </c>
      <c r="T95" s="1" t="s">
        <v>373</v>
      </c>
    </row>
    <row r="96" spans="1:20" x14ac:dyDescent="0.3">
      <c r="A96" s="1" t="s">
        <v>374</v>
      </c>
      <c r="B96" s="1" t="s">
        <v>139</v>
      </c>
      <c r="C96">
        <v>54</v>
      </c>
      <c r="D96" s="1" t="s">
        <v>12</v>
      </c>
      <c r="E96" s="1" t="s">
        <v>15</v>
      </c>
      <c r="F96" s="1" t="s">
        <v>114</v>
      </c>
      <c r="G96" s="1" t="s">
        <v>91</v>
      </c>
      <c r="H96" s="1" t="s">
        <v>13</v>
      </c>
      <c r="I96">
        <v>1323</v>
      </c>
      <c r="J96">
        <v>4891</v>
      </c>
      <c r="K96">
        <v>434</v>
      </c>
      <c r="L96">
        <v>11353</v>
      </c>
      <c r="M96">
        <v>18001</v>
      </c>
      <c r="N96" s="2">
        <v>45921</v>
      </c>
      <c r="O96" s="2">
        <v>45952</v>
      </c>
      <c r="P96" s="1" t="s">
        <v>19</v>
      </c>
      <c r="Q96" s="1" t="s">
        <v>9</v>
      </c>
      <c r="R96" s="1" t="s">
        <v>22</v>
      </c>
      <c r="S96">
        <v>729</v>
      </c>
      <c r="T96" s="1" t="s">
        <v>375</v>
      </c>
    </row>
    <row r="97" spans="1:20" x14ac:dyDescent="0.3">
      <c r="A97" s="1" t="s">
        <v>376</v>
      </c>
      <c r="B97" s="1" t="s">
        <v>377</v>
      </c>
      <c r="C97">
        <v>54</v>
      </c>
      <c r="D97" s="1" t="s">
        <v>23</v>
      </c>
      <c r="E97" s="1" t="s">
        <v>38</v>
      </c>
      <c r="F97" s="1" t="s">
        <v>114</v>
      </c>
      <c r="G97" s="1" t="s">
        <v>176</v>
      </c>
      <c r="H97" s="1" t="s">
        <v>99</v>
      </c>
      <c r="I97">
        <v>438</v>
      </c>
      <c r="J97">
        <v>4809</v>
      </c>
      <c r="K97">
        <v>4757</v>
      </c>
      <c r="L97">
        <v>9312</v>
      </c>
      <c r="M97">
        <v>19316</v>
      </c>
      <c r="N97" s="2">
        <v>45917</v>
      </c>
      <c r="O97" s="2">
        <v>45941</v>
      </c>
      <c r="P97" s="1" t="s">
        <v>34</v>
      </c>
      <c r="Q97" s="1" t="s">
        <v>9</v>
      </c>
      <c r="R97" s="1" t="s">
        <v>22</v>
      </c>
      <c r="S97">
        <v>750</v>
      </c>
      <c r="T97" s="1" t="s">
        <v>378</v>
      </c>
    </row>
    <row r="98" spans="1:20" x14ac:dyDescent="0.3">
      <c r="A98" s="1" t="s">
        <v>379</v>
      </c>
      <c r="B98" s="1" t="s">
        <v>380</v>
      </c>
      <c r="C98">
        <v>3</v>
      </c>
      <c r="D98" s="1" t="s">
        <v>12</v>
      </c>
      <c r="E98" s="1" t="s">
        <v>20</v>
      </c>
      <c r="F98" s="1" t="s">
        <v>114</v>
      </c>
      <c r="G98" s="1" t="s">
        <v>98</v>
      </c>
      <c r="H98" s="1" t="s">
        <v>99</v>
      </c>
      <c r="I98">
        <v>793</v>
      </c>
      <c r="J98">
        <v>1349</v>
      </c>
      <c r="K98">
        <v>6620</v>
      </c>
      <c r="L98">
        <v>10533</v>
      </c>
      <c r="M98">
        <v>19295</v>
      </c>
      <c r="N98" s="2">
        <v>45828</v>
      </c>
      <c r="O98" s="2">
        <v>45726</v>
      </c>
      <c r="P98" s="1" t="s">
        <v>34</v>
      </c>
      <c r="Q98" s="1" t="s">
        <v>21</v>
      </c>
      <c r="R98" s="1" t="s">
        <v>87</v>
      </c>
      <c r="S98">
        <v>279</v>
      </c>
      <c r="T98" s="1" t="s">
        <v>381</v>
      </c>
    </row>
    <row r="99" spans="1:20" x14ac:dyDescent="0.3">
      <c r="A99" s="1" t="s">
        <v>382</v>
      </c>
      <c r="B99" s="1" t="s">
        <v>383</v>
      </c>
      <c r="C99">
        <v>81</v>
      </c>
      <c r="D99" s="1" t="s">
        <v>23</v>
      </c>
      <c r="E99" s="1" t="s">
        <v>20</v>
      </c>
      <c r="F99" s="1" t="s">
        <v>109</v>
      </c>
      <c r="G99" s="1" t="s">
        <v>91</v>
      </c>
      <c r="H99" s="1" t="s">
        <v>37</v>
      </c>
      <c r="I99">
        <v>1237</v>
      </c>
      <c r="J99">
        <v>802</v>
      </c>
      <c r="K99">
        <v>2703</v>
      </c>
      <c r="L99">
        <v>4302</v>
      </c>
      <c r="M99">
        <v>9044</v>
      </c>
      <c r="N99" s="2">
        <v>45680</v>
      </c>
      <c r="O99" s="2">
        <v>45760</v>
      </c>
      <c r="P99" s="1" t="s">
        <v>34</v>
      </c>
      <c r="Q99" s="1" t="s">
        <v>9</v>
      </c>
      <c r="R99" s="1" t="s">
        <v>87</v>
      </c>
      <c r="S99">
        <v>584</v>
      </c>
      <c r="T99" s="1" t="s">
        <v>384</v>
      </c>
    </row>
    <row r="100" spans="1:20" x14ac:dyDescent="0.3">
      <c r="A100" s="1" t="s">
        <v>385</v>
      </c>
      <c r="B100" s="1" t="s">
        <v>386</v>
      </c>
      <c r="C100">
        <v>37</v>
      </c>
      <c r="D100" s="1" t="s">
        <v>12</v>
      </c>
      <c r="E100" s="1" t="s">
        <v>38</v>
      </c>
      <c r="F100" s="1" t="s">
        <v>103</v>
      </c>
      <c r="G100" s="1" t="s">
        <v>91</v>
      </c>
      <c r="H100" s="1" t="s">
        <v>186</v>
      </c>
      <c r="I100">
        <v>859</v>
      </c>
      <c r="J100">
        <v>1519</v>
      </c>
      <c r="K100">
        <v>6848</v>
      </c>
      <c r="L100">
        <v>7029</v>
      </c>
      <c r="M100">
        <v>16255</v>
      </c>
      <c r="N100" s="2">
        <v>45881</v>
      </c>
      <c r="O100" s="2">
        <v>45862</v>
      </c>
      <c r="P100" s="1" t="s">
        <v>116</v>
      </c>
      <c r="Q100" s="1" t="s">
        <v>31</v>
      </c>
      <c r="R100" s="1" t="s">
        <v>17</v>
      </c>
      <c r="S100">
        <v>808</v>
      </c>
      <c r="T100" s="1" t="s">
        <v>387</v>
      </c>
    </row>
    <row r="101" spans="1:20" x14ac:dyDescent="0.3">
      <c r="A101" s="1" t="s">
        <v>388</v>
      </c>
      <c r="B101" s="1" t="s">
        <v>311</v>
      </c>
      <c r="C101">
        <v>35</v>
      </c>
      <c r="D101" s="1" t="s">
        <v>23</v>
      </c>
      <c r="E101" s="1" t="s">
        <v>20</v>
      </c>
      <c r="F101" s="1" t="s">
        <v>120</v>
      </c>
      <c r="G101" s="1" t="s">
        <v>104</v>
      </c>
      <c r="H101" s="1" t="s">
        <v>37</v>
      </c>
      <c r="I101">
        <v>1181</v>
      </c>
      <c r="J101">
        <v>1978</v>
      </c>
      <c r="K101">
        <v>4768</v>
      </c>
      <c r="L101">
        <v>5813</v>
      </c>
      <c r="M101">
        <v>13740</v>
      </c>
      <c r="N101" s="2">
        <v>45822</v>
      </c>
      <c r="O101" s="2">
        <v>45710</v>
      </c>
      <c r="P101" s="1" t="s">
        <v>35</v>
      </c>
      <c r="Q101" s="1" t="s">
        <v>21</v>
      </c>
      <c r="R101" s="1" t="s">
        <v>17</v>
      </c>
      <c r="S101">
        <v>556</v>
      </c>
      <c r="T101" s="1" t="s">
        <v>389</v>
      </c>
    </row>
    <row r="102" spans="1:20" x14ac:dyDescent="0.3">
      <c r="A102" s="1" t="s">
        <v>390</v>
      </c>
      <c r="B102" s="1" t="s">
        <v>30</v>
      </c>
      <c r="C102">
        <v>57</v>
      </c>
      <c r="D102" s="1" t="s">
        <v>12</v>
      </c>
      <c r="E102" s="1" t="s">
        <v>20</v>
      </c>
      <c r="F102" s="1" t="s">
        <v>135</v>
      </c>
      <c r="G102" s="1" t="s">
        <v>98</v>
      </c>
      <c r="H102" s="1" t="s">
        <v>29</v>
      </c>
      <c r="I102">
        <v>1022</v>
      </c>
      <c r="J102">
        <v>4063</v>
      </c>
      <c r="K102">
        <v>2549</v>
      </c>
      <c r="L102">
        <v>11477</v>
      </c>
      <c r="M102">
        <v>19111</v>
      </c>
      <c r="N102" s="2">
        <v>45687</v>
      </c>
      <c r="O102" s="2">
        <v>45696</v>
      </c>
      <c r="P102" s="1" t="s">
        <v>93</v>
      </c>
      <c r="Q102" s="1" t="s">
        <v>31</v>
      </c>
      <c r="R102" s="1" t="s">
        <v>22</v>
      </c>
      <c r="S102">
        <v>246</v>
      </c>
      <c r="T102" s="1" t="s">
        <v>391</v>
      </c>
    </row>
    <row r="103" spans="1:20" x14ac:dyDescent="0.3">
      <c r="A103" s="1" t="s">
        <v>392</v>
      </c>
      <c r="B103" s="1" t="s">
        <v>393</v>
      </c>
      <c r="C103">
        <v>5</v>
      </c>
      <c r="D103" s="1" t="s">
        <v>23</v>
      </c>
      <c r="E103" s="1" t="s">
        <v>27</v>
      </c>
      <c r="F103" s="1" t="s">
        <v>114</v>
      </c>
      <c r="G103" s="1" t="s">
        <v>91</v>
      </c>
      <c r="H103" s="1" t="s">
        <v>105</v>
      </c>
      <c r="I103">
        <v>1050</v>
      </c>
      <c r="J103">
        <v>3466</v>
      </c>
      <c r="K103">
        <v>3436</v>
      </c>
      <c r="L103">
        <v>10293</v>
      </c>
      <c r="M103">
        <v>18245</v>
      </c>
      <c r="N103" s="2">
        <v>45674</v>
      </c>
      <c r="O103" s="2">
        <v>45967</v>
      </c>
      <c r="P103" s="1" t="s">
        <v>25</v>
      </c>
      <c r="Q103" s="1" t="s">
        <v>21</v>
      </c>
      <c r="R103" s="1" t="s">
        <v>17</v>
      </c>
      <c r="S103">
        <v>881</v>
      </c>
      <c r="T103" s="1" t="s">
        <v>394</v>
      </c>
    </row>
    <row r="104" spans="1:20" x14ac:dyDescent="0.3">
      <c r="A104" s="1" t="s">
        <v>395</v>
      </c>
      <c r="B104" s="1" t="s">
        <v>396</v>
      </c>
      <c r="C104">
        <v>68</v>
      </c>
      <c r="D104" s="1" t="s">
        <v>12</v>
      </c>
      <c r="E104" s="1" t="s">
        <v>38</v>
      </c>
      <c r="F104" s="1" t="s">
        <v>120</v>
      </c>
      <c r="G104" s="1" t="s">
        <v>98</v>
      </c>
      <c r="H104" s="1" t="s">
        <v>186</v>
      </c>
      <c r="I104">
        <v>870</v>
      </c>
      <c r="J104">
        <v>2544</v>
      </c>
      <c r="K104">
        <v>1229</v>
      </c>
      <c r="L104">
        <v>1424</v>
      </c>
      <c r="M104">
        <v>6067</v>
      </c>
      <c r="N104" s="2">
        <v>45753</v>
      </c>
      <c r="O104" s="2">
        <v>45913</v>
      </c>
      <c r="P104" s="1" t="s">
        <v>110</v>
      </c>
      <c r="Q104" s="1" t="s">
        <v>16</v>
      </c>
      <c r="R104" s="1" t="s">
        <v>17</v>
      </c>
      <c r="S104">
        <v>893</v>
      </c>
      <c r="T104" s="1" t="s">
        <v>397</v>
      </c>
    </row>
    <row r="105" spans="1:20" x14ac:dyDescent="0.3">
      <c r="A105" s="1" t="s">
        <v>398</v>
      </c>
      <c r="B105" s="1" t="s">
        <v>53</v>
      </c>
      <c r="C105">
        <v>79</v>
      </c>
      <c r="D105" s="1" t="s">
        <v>12</v>
      </c>
      <c r="E105" s="1" t="s">
        <v>24</v>
      </c>
      <c r="F105" s="1" t="s">
        <v>135</v>
      </c>
      <c r="G105" s="1" t="s">
        <v>176</v>
      </c>
      <c r="H105" s="1" t="s">
        <v>115</v>
      </c>
      <c r="I105">
        <v>551</v>
      </c>
      <c r="J105">
        <v>1611</v>
      </c>
      <c r="K105">
        <v>7286</v>
      </c>
      <c r="L105">
        <v>2213</v>
      </c>
      <c r="M105">
        <v>11661</v>
      </c>
      <c r="N105" s="2">
        <v>45889</v>
      </c>
      <c r="O105" s="2">
        <v>45746</v>
      </c>
      <c r="P105" s="1" t="s">
        <v>116</v>
      </c>
      <c r="Q105" s="1" t="s">
        <v>21</v>
      </c>
      <c r="R105" s="1" t="s">
        <v>87</v>
      </c>
      <c r="S105">
        <v>455</v>
      </c>
      <c r="T105" s="1" t="s">
        <v>399</v>
      </c>
    </row>
    <row r="106" spans="1:20" x14ac:dyDescent="0.3">
      <c r="A106" s="1" t="s">
        <v>400</v>
      </c>
      <c r="B106" s="1" t="s">
        <v>401</v>
      </c>
      <c r="C106">
        <v>70</v>
      </c>
      <c r="D106" s="1" t="s">
        <v>12</v>
      </c>
      <c r="E106" s="1" t="s">
        <v>40</v>
      </c>
      <c r="F106" s="1" t="s">
        <v>124</v>
      </c>
      <c r="G106" s="1" t="s">
        <v>176</v>
      </c>
      <c r="H106" s="1" t="s">
        <v>145</v>
      </c>
      <c r="I106">
        <v>656</v>
      </c>
      <c r="J106">
        <v>3461</v>
      </c>
      <c r="K106">
        <v>4467</v>
      </c>
      <c r="L106">
        <v>4673</v>
      </c>
      <c r="M106">
        <v>13257</v>
      </c>
      <c r="N106" s="2">
        <v>45720</v>
      </c>
      <c r="O106" s="2">
        <v>45760</v>
      </c>
      <c r="P106" s="1" t="s">
        <v>25</v>
      </c>
      <c r="Q106" s="1" t="s">
        <v>9</v>
      </c>
      <c r="R106" s="1" t="s">
        <v>22</v>
      </c>
      <c r="S106">
        <v>469</v>
      </c>
      <c r="T106" s="1" t="s">
        <v>402</v>
      </c>
    </row>
    <row r="107" spans="1:20" x14ac:dyDescent="0.3">
      <c r="A107" s="1" t="s">
        <v>403</v>
      </c>
      <c r="B107" s="1" t="s">
        <v>404</v>
      </c>
      <c r="C107">
        <v>60</v>
      </c>
      <c r="D107" s="1" t="s">
        <v>23</v>
      </c>
      <c r="E107" s="1" t="s">
        <v>38</v>
      </c>
      <c r="F107" s="1" t="s">
        <v>114</v>
      </c>
      <c r="G107" s="1" t="s">
        <v>176</v>
      </c>
      <c r="H107" s="1" t="s">
        <v>37</v>
      </c>
      <c r="I107">
        <v>933</v>
      </c>
      <c r="J107">
        <v>3761</v>
      </c>
      <c r="K107">
        <v>6173</v>
      </c>
      <c r="L107">
        <v>12777</v>
      </c>
      <c r="M107">
        <v>23644</v>
      </c>
      <c r="N107" s="2">
        <v>45903</v>
      </c>
      <c r="O107" s="2">
        <v>45927</v>
      </c>
      <c r="P107" s="1" t="s">
        <v>93</v>
      </c>
      <c r="Q107" s="1" t="s">
        <v>16</v>
      </c>
      <c r="R107" s="1" t="s">
        <v>22</v>
      </c>
      <c r="S107">
        <v>424</v>
      </c>
      <c r="T107" s="1" t="s">
        <v>405</v>
      </c>
    </row>
    <row r="108" spans="1:20" x14ac:dyDescent="0.3">
      <c r="A108" s="1" t="s">
        <v>406</v>
      </c>
      <c r="B108" s="1" t="s">
        <v>407</v>
      </c>
      <c r="C108">
        <v>60</v>
      </c>
      <c r="D108" s="1" t="s">
        <v>12</v>
      </c>
      <c r="E108" s="1" t="s">
        <v>36</v>
      </c>
      <c r="F108" s="1" t="s">
        <v>109</v>
      </c>
      <c r="G108" s="1" t="s">
        <v>85</v>
      </c>
      <c r="H108" s="1" t="s">
        <v>145</v>
      </c>
      <c r="I108">
        <v>564</v>
      </c>
      <c r="J108">
        <v>4044</v>
      </c>
      <c r="K108">
        <v>4419</v>
      </c>
      <c r="L108">
        <v>1907</v>
      </c>
      <c r="M108">
        <v>10934</v>
      </c>
      <c r="N108" s="2">
        <v>45721</v>
      </c>
      <c r="O108" s="2">
        <v>45923</v>
      </c>
      <c r="P108" s="1" t="s">
        <v>25</v>
      </c>
      <c r="Q108" s="1" t="s">
        <v>31</v>
      </c>
      <c r="R108" s="1" t="s">
        <v>17</v>
      </c>
      <c r="S108">
        <v>826</v>
      </c>
      <c r="T108" s="1" t="s">
        <v>408</v>
      </c>
    </row>
    <row r="109" spans="1:20" x14ac:dyDescent="0.3">
      <c r="A109" s="1" t="s">
        <v>409</v>
      </c>
      <c r="B109" s="1" t="s">
        <v>311</v>
      </c>
      <c r="C109">
        <v>37</v>
      </c>
      <c r="D109" s="1" t="s">
        <v>23</v>
      </c>
      <c r="E109" s="1" t="s">
        <v>24</v>
      </c>
      <c r="F109" s="1" t="s">
        <v>124</v>
      </c>
      <c r="G109" s="1" t="s">
        <v>98</v>
      </c>
      <c r="H109" s="1" t="s">
        <v>115</v>
      </c>
      <c r="I109">
        <v>1428</v>
      </c>
      <c r="J109">
        <v>2748</v>
      </c>
      <c r="K109">
        <v>1325</v>
      </c>
      <c r="L109">
        <v>11240</v>
      </c>
      <c r="M109">
        <v>16741</v>
      </c>
      <c r="N109" s="2">
        <v>45813</v>
      </c>
      <c r="O109" s="2">
        <v>45972</v>
      </c>
      <c r="P109" s="1" t="s">
        <v>110</v>
      </c>
      <c r="Q109" s="1" t="s">
        <v>31</v>
      </c>
      <c r="R109" s="1" t="s">
        <v>87</v>
      </c>
      <c r="S109">
        <v>694</v>
      </c>
      <c r="T109" s="1" t="s">
        <v>410</v>
      </c>
    </row>
    <row r="110" spans="1:20" x14ac:dyDescent="0.3">
      <c r="A110" s="1" t="s">
        <v>411</v>
      </c>
      <c r="B110" s="1" t="s">
        <v>412</v>
      </c>
      <c r="C110">
        <v>78</v>
      </c>
      <c r="D110" s="1" t="s">
        <v>12</v>
      </c>
      <c r="E110" s="1" t="s">
        <v>38</v>
      </c>
      <c r="F110" s="1" t="s">
        <v>103</v>
      </c>
      <c r="G110" s="1" t="s">
        <v>98</v>
      </c>
      <c r="H110" s="1" t="s">
        <v>18</v>
      </c>
      <c r="I110">
        <v>466</v>
      </c>
      <c r="J110">
        <v>872</v>
      </c>
      <c r="K110">
        <v>5554</v>
      </c>
      <c r="L110">
        <v>13632</v>
      </c>
      <c r="M110">
        <v>20524</v>
      </c>
      <c r="N110" s="2">
        <v>45953</v>
      </c>
      <c r="O110" s="2">
        <v>45793</v>
      </c>
      <c r="P110" s="1" t="s">
        <v>19</v>
      </c>
      <c r="Q110" s="1" t="s">
        <v>16</v>
      </c>
      <c r="R110" s="1" t="s">
        <v>17</v>
      </c>
      <c r="S110">
        <v>742</v>
      </c>
      <c r="T110" s="1" t="s">
        <v>413</v>
      </c>
    </row>
    <row r="111" spans="1:20" x14ac:dyDescent="0.3">
      <c r="A111" s="1" t="s">
        <v>414</v>
      </c>
      <c r="B111" s="1" t="s">
        <v>415</v>
      </c>
      <c r="C111">
        <v>62</v>
      </c>
      <c r="D111" s="1" t="s">
        <v>23</v>
      </c>
      <c r="E111" s="1" t="s">
        <v>27</v>
      </c>
      <c r="F111" s="1" t="s">
        <v>120</v>
      </c>
      <c r="G111" s="1" t="s">
        <v>125</v>
      </c>
      <c r="H111" s="1" t="s">
        <v>26</v>
      </c>
      <c r="I111">
        <v>1228</v>
      </c>
      <c r="J111">
        <v>1097</v>
      </c>
      <c r="K111">
        <v>5941</v>
      </c>
      <c r="L111">
        <v>1981</v>
      </c>
      <c r="M111">
        <v>10247</v>
      </c>
      <c r="N111" s="2">
        <v>45738</v>
      </c>
      <c r="O111" s="2">
        <v>45883</v>
      </c>
      <c r="P111" s="1" t="s">
        <v>93</v>
      </c>
      <c r="Q111" s="1" t="s">
        <v>31</v>
      </c>
      <c r="R111" s="1" t="s">
        <v>17</v>
      </c>
      <c r="S111">
        <v>721</v>
      </c>
      <c r="T111" s="1" t="s">
        <v>416</v>
      </c>
    </row>
    <row r="112" spans="1:20" x14ac:dyDescent="0.3">
      <c r="A112" s="1" t="s">
        <v>417</v>
      </c>
      <c r="B112" s="1" t="s">
        <v>418</v>
      </c>
      <c r="C112">
        <v>45</v>
      </c>
      <c r="D112" s="1" t="s">
        <v>12</v>
      </c>
      <c r="E112" s="1" t="s">
        <v>27</v>
      </c>
      <c r="F112" s="1" t="s">
        <v>109</v>
      </c>
      <c r="G112" s="1" t="s">
        <v>85</v>
      </c>
      <c r="H112" s="1" t="s">
        <v>99</v>
      </c>
      <c r="I112">
        <v>1354</v>
      </c>
      <c r="J112">
        <v>1369</v>
      </c>
      <c r="K112">
        <v>2914</v>
      </c>
      <c r="L112">
        <v>4960</v>
      </c>
      <c r="M112">
        <v>10597</v>
      </c>
      <c r="N112" s="2">
        <v>45896</v>
      </c>
      <c r="O112" s="2">
        <v>45720</v>
      </c>
      <c r="P112" s="1" t="s">
        <v>14</v>
      </c>
      <c r="Q112" s="1" t="s">
        <v>31</v>
      </c>
      <c r="R112" s="1" t="s">
        <v>22</v>
      </c>
      <c r="S112">
        <v>151</v>
      </c>
      <c r="T112" s="1" t="s">
        <v>419</v>
      </c>
    </row>
    <row r="113" spans="1:20" x14ac:dyDescent="0.3">
      <c r="A113" s="1" t="s">
        <v>420</v>
      </c>
      <c r="B113" s="1" t="s">
        <v>421</v>
      </c>
      <c r="C113">
        <v>54</v>
      </c>
      <c r="D113" s="1" t="s">
        <v>23</v>
      </c>
      <c r="E113" s="1" t="s">
        <v>27</v>
      </c>
      <c r="F113" s="1" t="s">
        <v>109</v>
      </c>
      <c r="G113" s="1" t="s">
        <v>125</v>
      </c>
      <c r="H113" s="1" t="s">
        <v>186</v>
      </c>
      <c r="I113">
        <v>1483</v>
      </c>
      <c r="J113">
        <v>3061</v>
      </c>
      <c r="K113">
        <v>1855</v>
      </c>
      <c r="L113">
        <v>13502</v>
      </c>
      <c r="M113">
        <v>19901</v>
      </c>
      <c r="N113" s="2">
        <v>45739</v>
      </c>
      <c r="O113" s="2">
        <v>45913</v>
      </c>
      <c r="P113" s="1" t="s">
        <v>110</v>
      </c>
      <c r="Q113" s="1" t="s">
        <v>21</v>
      </c>
      <c r="R113" s="1" t="s">
        <v>17</v>
      </c>
      <c r="S113">
        <v>123</v>
      </c>
      <c r="T113" s="1" t="s">
        <v>422</v>
      </c>
    </row>
    <row r="114" spans="1:20" x14ac:dyDescent="0.3">
      <c r="A114" s="1" t="s">
        <v>423</v>
      </c>
      <c r="B114" s="1" t="s">
        <v>341</v>
      </c>
      <c r="C114">
        <v>59</v>
      </c>
      <c r="D114" s="1" t="s">
        <v>23</v>
      </c>
      <c r="E114" s="1" t="s">
        <v>36</v>
      </c>
      <c r="F114" s="1" t="s">
        <v>84</v>
      </c>
      <c r="G114" s="1" t="s">
        <v>98</v>
      </c>
      <c r="H114" s="1" t="s">
        <v>99</v>
      </c>
      <c r="I114">
        <v>399</v>
      </c>
      <c r="J114">
        <v>914</v>
      </c>
      <c r="K114">
        <v>2604</v>
      </c>
      <c r="L114">
        <v>9108</v>
      </c>
      <c r="M114">
        <v>13025</v>
      </c>
      <c r="N114" s="2">
        <v>45963</v>
      </c>
      <c r="O114" s="2">
        <v>45992</v>
      </c>
      <c r="P114" s="1" t="s">
        <v>116</v>
      </c>
      <c r="Q114" s="1" t="s">
        <v>16</v>
      </c>
      <c r="R114" s="1" t="s">
        <v>22</v>
      </c>
      <c r="S114">
        <v>541</v>
      </c>
      <c r="T114" s="1" t="s">
        <v>424</v>
      </c>
    </row>
    <row r="115" spans="1:20" x14ac:dyDescent="0.3">
      <c r="A115" s="1" t="s">
        <v>425</v>
      </c>
      <c r="B115" s="1" t="s">
        <v>426</v>
      </c>
      <c r="C115">
        <v>52</v>
      </c>
      <c r="D115" s="1" t="s">
        <v>12</v>
      </c>
      <c r="E115" s="1" t="s">
        <v>27</v>
      </c>
      <c r="F115" s="1" t="s">
        <v>103</v>
      </c>
      <c r="G115" s="1" t="s">
        <v>176</v>
      </c>
      <c r="H115" s="1" t="s">
        <v>155</v>
      </c>
      <c r="I115">
        <v>404</v>
      </c>
      <c r="J115">
        <v>2094</v>
      </c>
      <c r="K115">
        <v>3269</v>
      </c>
      <c r="L115">
        <v>10064</v>
      </c>
      <c r="M115">
        <v>15831</v>
      </c>
      <c r="N115" s="2">
        <v>45805</v>
      </c>
      <c r="O115" s="2">
        <v>45695</v>
      </c>
      <c r="P115" s="1" t="s">
        <v>93</v>
      </c>
      <c r="Q115" s="1" t="s">
        <v>21</v>
      </c>
      <c r="R115" s="1" t="s">
        <v>87</v>
      </c>
      <c r="S115">
        <v>796</v>
      </c>
      <c r="T115" s="1" t="s">
        <v>427</v>
      </c>
    </row>
    <row r="116" spans="1:20" x14ac:dyDescent="0.3">
      <c r="A116" s="1" t="s">
        <v>428</v>
      </c>
      <c r="B116" s="1" t="s">
        <v>429</v>
      </c>
      <c r="C116">
        <v>13</v>
      </c>
      <c r="D116" s="1" t="s">
        <v>12</v>
      </c>
      <c r="E116" s="1" t="s">
        <v>38</v>
      </c>
      <c r="F116" s="1" t="s">
        <v>97</v>
      </c>
      <c r="G116" s="1" t="s">
        <v>98</v>
      </c>
      <c r="H116" s="1" t="s">
        <v>186</v>
      </c>
      <c r="I116">
        <v>1442</v>
      </c>
      <c r="J116">
        <v>3495</v>
      </c>
      <c r="K116">
        <v>6484</v>
      </c>
      <c r="L116">
        <v>3363</v>
      </c>
      <c r="M116">
        <v>14784</v>
      </c>
      <c r="N116" s="2">
        <v>45759</v>
      </c>
      <c r="O116" s="2">
        <v>45966</v>
      </c>
      <c r="P116" s="1" t="s">
        <v>110</v>
      </c>
      <c r="Q116" s="1" t="s">
        <v>16</v>
      </c>
      <c r="R116" s="1" t="s">
        <v>22</v>
      </c>
      <c r="S116">
        <v>139</v>
      </c>
      <c r="T116" s="1" t="s">
        <v>430</v>
      </c>
    </row>
    <row r="117" spans="1:20" x14ac:dyDescent="0.3">
      <c r="A117" s="1" t="s">
        <v>431</v>
      </c>
      <c r="B117" s="1" t="s">
        <v>432</v>
      </c>
      <c r="C117">
        <v>67</v>
      </c>
      <c r="D117" s="1" t="s">
        <v>12</v>
      </c>
      <c r="E117" s="1" t="s">
        <v>20</v>
      </c>
      <c r="F117" s="1" t="s">
        <v>109</v>
      </c>
      <c r="G117" s="1" t="s">
        <v>98</v>
      </c>
      <c r="H117" s="1" t="s">
        <v>86</v>
      </c>
      <c r="I117">
        <v>971</v>
      </c>
      <c r="J117">
        <v>3109</v>
      </c>
      <c r="K117">
        <v>1631</v>
      </c>
      <c r="L117">
        <v>7438</v>
      </c>
      <c r="M117">
        <v>13149</v>
      </c>
      <c r="N117" s="2">
        <v>45973</v>
      </c>
      <c r="O117" s="2">
        <v>45811</v>
      </c>
      <c r="P117" s="1" t="s">
        <v>136</v>
      </c>
      <c r="Q117" s="1" t="s">
        <v>9</v>
      </c>
      <c r="R117" s="1" t="s">
        <v>87</v>
      </c>
      <c r="S117">
        <v>676</v>
      </c>
      <c r="T117" s="1" t="s">
        <v>433</v>
      </c>
    </row>
    <row r="118" spans="1:20" x14ac:dyDescent="0.3">
      <c r="A118" s="1" t="s">
        <v>434</v>
      </c>
      <c r="B118" s="1" t="s">
        <v>59</v>
      </c>
      <c r="C118">
        <v>48</v>
      </c>
      <c r="D118" s="1" t="s">
        <v>12</v>
      </c>
      <c r="E118" s="1" t="s">
        <v>27</v>
      </c>
      <c r="F118" s="1" t="s">
        <v>114</v>
      </c>
      <c r="G118" s="1" t="s">
        <v>91</v>
      </c>
      <c r="H118" s="1" t="s">
        <v>199</v>
      </c>
      <c r="I118">
        <v>1495</v>
      </c>
      <c r="J118">
        <v>3020</v>
      </c>
      <c r="K118">
        <v>6827</v>
      </c>
      <c r="L118">
        <v>12883</v>
      </c>
      <c r="M118">
        <v>24225</v>
      </c>
      <c r="N118" s="2">
        <v>46010</v>
      </c>
      <c r="O118" s="2">
        <v>45980</v>
      </c>
      <c r="P118" s="1" t="s">
        <v>34</v>
      </c>
      <c r="Q118" s="1" t="s">
        <v>31</v>
      </c>
      <c r="R118" s="1" t="s">
        <v>87</v>
      </c>
      <c r="S118">
        <v>152</v>
      </c>
      <c r="T118" s="1" t="s">
        <v>435</v>
      </c>
    </row>
    <row r="119" spans="1:20" x14ac:dyDescent="0.3">
      <c r="A119" s="1" t="s">
        <v>436</v>
      </c>
      <c r="B119" s="1" t="s">
        <v>71</v>
      </c>
      <c r="C119">
        <v>68</v>
      </c>
      <c r="D119" s="1" t="s">
        <v>12</v>
      </c>
      <c r="E119" s="1" t="s">
        <v>15</v>
      </c>
      <c r="F119" s="1" t="s">
        <v>109</v>
      </c>
      <c r="G119" s="1" t="s">
        <v>125</v>
      </c>
      <c r="H119" s="1" t="s">
        <v>105</v>
      </c>
      <c r="I119">
        <v>364</v>
      </c>
      <c r="J119">
        <v>1400</v>
      </c>
      <c r="K119">
        <v>1862</v>
      </c>
      <c r="L119">
        <v>1310</v>
      </c>
      <c r="M119">
        <v>4936</v>
      </c>
      <c r="N119" s="2">
        <v>45883</v>
      </c>
      <c r="O119" s="2">
        <v>45818</v>
      </c>
      <c r="P119" s="1" t="s">
        <v>93</v>
      </c>
      <c r="Q119" s="1" t="s">
        <v>31</v>
      </c>
      <c r="R119" s="1" t="s">
        <v>17</v>
      </c>
      <c r="S119">
        <v>613</v>
      </c>
      <c r="T119" s="1" t="s">
        <v>437</v>
      </c>
    </row>
    <row r="120" spans="1:20" x14ac:dyDescent="0.3">
      <c r="A120" s="1" t="s">
        <v>438</v>
      </c>
      <c r="B120" s="1" t="s">
        <v>248</v>
      </c>
      <c r="C120">
        <v>8</v>
      </c>
      <c r="D120" s="1" t="s">
        <v>23</v>
      </c>
      <c r="E120" s="1" t="s">
        <v>20</v>
      </c>
      <c r="F120" s="1" t="s">
        <v>84</v>
      </c>
      <c r="G120" s="1" t="s">
        <v>98</v>
      </c>
      <c r="H120" s="1" t="s">
        <v>186</v>
      </c>
      <c r="I120">
        <v>1279</v>
      </c>
      <c r="J120">
        <v>4804</v>
      </c>
      <c r="K120">
        <v>3386</v>
      </c>
      <c r="L120">
        <v>6140</v>
      </c>
      <c r="M120">
        <v>15609</v>
      </c>
      <c r="N120" s="2">
        <v>45746</v>
      </c>
      <c r="O120" s="2">
        <v>45893</v>
      </c>
      <c r="P120" s="1" t="s">
        <v>110</v>
      </c>
      <c r="Q120" s="1" t="s">
        <v>21</v>
      </c>
      <c r="R120" s="1" t="s">
        <v>87</v>
      </c>
      <c r="S120">
        <v>890</v>
      </c>
      <c r="T120" s="1" t="s">
        <v>439</v>
      </c>
    </row>
    <row r="121" spans="1:20" x14ac:dyDescent="0.3">
      <c r="A121" s="1" t="s">
        <v>440</v>
      </c>
      <c r="B121" s="1" t="s">
        <v>441</v>
      </c>
      <c r="C121">
        <v>62</v>
      </c>
      <c r="D121" s="1" t="s">
        <v>23</v>
      </c>
      <c r="E121" s="1" t="s">
        <v>27</v>
      </c>
      <c r="F121" s="1" t="s">
        <v>84</v>
      </c>
      <c r="G121" s="1" t="s">
        <v>91</v>
      </c>
      <c r="H121" s="1" t="s">
        <v>165</v>
      </c>
      <c r="I121">
        <v>1442</v>
      </c>
      <c r="J121">
        <v>2945</v>
      </c>
      <c r="K121">
        <v>2142</v>
      </c>
      <c r="L121">
        <v>5876</v>
      </c>
      <c r="M121">
        <v>12405</v>
      </c>
      <c r="N121" s="2">
        <v>45805</v>
      </c>
      <c r="O121" s="2">
        <v>46018</v>
      </c>
      <c r="P121" s="1" t="s">
        <v>19</v>
      </c>
      <c r="Q121" s="1" t="s">
        <v>9</v>
      </c>
      <c r="R121" s="1" t="s">
        <v>17</v>
      </c>
      <c r="S121">
        <v>673</v>
      </c>
      <c r="T121" s="1" t="s">
        <v>442</v>
      </c>
    </row>
    <row r="122" spans="1:20" x14ac:dyDescent="0.3">
      <c r="A122" s="1" t="s">
        <v>443</v>
      </c>
      <c r="B122" s="1" t="s">
        <v>444</v>
      </c>
      <c r="C122">
        <v>16</v>
      </c>
      <c r="D122" s="1" t="s">
        <v>12</v>
      </c>
      <c r="E122" s="1" t="s">
        <v>36</v>
      </c>
      <c r="F122" s="1" t="s">
        <v>120</v>
      </c>
      <c r="G122" s="1" t="s">
        <v>104</v>
      </c>
      <c r="H122" s="1" t="s">
        <v>99</v>
      </c>
      <c r="I122">
        <v>599</v>
      </c>
      <c r="J122">
        <v>2879</v>
      </c>
      <c r="K122">
        <v>644</v>
      </c>
      <c r="L122">
        <v>5712</v>
      </c>
      <c r="M122">
        <v>9834</v>
      </c>
      <c r="N122" s="2">
        <v>45698</v>
      </c>
      <c r="O122" s="2">
        <v>45835</v>
      </c>
      <c r="P122" s="1" t="s">
        <v>116</v>
      </c>
      <c r="Q122" s="1" t="s">
        <v>9</v>
      </c>
      <c r="R122" s="1" t="s">
        <v>22</v>
      </c>
      <c r="S122">
        <v>306</v>
      </c>
      <c r="T122" s="1" t="s">
        <v>445</v>
      </c>
    </row>
    <row r="123" spans="1:20" x14ac:dyDescent="0.3">
      <c r="A123" s="1" t="s">
        <v>446</v>
      </c>
      <c r="B123" s="1" t="s">
        <v>119</v>
      </c>
      <c r="C123">
        <v>72</v>
      </c>
      <c r="D123" s="1" t="s">
        <v>12</v>
      </c>
      <c r="E123" s="1" t="s">
        <v>33</v>
      </c>
      <c r="F123" s="1" t="s">
        <v>109</v>
      </c>
      <c r="G123" s="1" t="s">
        <v>158</v>
      </c>
      <c r="H123" s="1" t="s">
        <v>13</v>
      </c>
      <c r="I123">
        <v>790</v>
      </c>
      <c r="J123">
        <v>2486</v>
      </c>
      <c r="K123">
        <v>715</v>
      </c>
      <c r="L123">
        <v>11974</v>
      </c>
      <c r="M123">
        <v>15965</v>
      </c>
      <c r="N123" s="2">
        <v>45929</v>
      </c>
      <c r="O123" s="2">
        <v>45773</v>
      </c>
      <c r="P123" s="1" t="s">
        <v>19</v>
      </c>
      <c r="Q123" s="1" t="s">
        <v>9</v>
      </c>
      <c r="R123" s="1" t="s">
        <v>17</v>
      </c>
      <c r="S123">
        <v>834</v>
      </c>
      <c r="T123" s="1" t="s">
        <v>447</v>
      </c>
    </row>
    <row r="124" spans="1:20" x14ac:dyDescent="0.3">
      <c r="A124" s="1" t="s">
        <v>448</v>
      </c>
      <c r="B124" s="1" t="s">
        <v>429</v>
      </c>
      <c r="C124">
        <v>1</v>
      </c>
      <c r="D124" s="1" t="s">
        <v>23</v>
      </c>
      <c r="E124" s="1" t="s">
        <v>24</v>
      </c>
      <c r="F124" s="1" t="s">
        <v>120</v>
      </c>
      <c r="G124" s="1" t="s">
        <v>104</v>
      </c>
      <c r="H124" s="1" t="s">
        <v>215</v>
      </c>
      <c r="I124">
        <v>1277</v>
      </c>
      <c r="J124">
        <v>2133</v>
      </c>
      <c r="K124">
        <v>6492</v>
      </c>
      <c r="L124">
        <v>5706</v>
      </c>
      <c r="M124">
        <v>15608</v>
      </c>
      <c r="N124" s="2">
        <v>45822</v>
      </c>
      <c r="O124" s="2">
        <v>45804</v>
      </c>
      <c r="P124" s="1" t="s">
        <v>34</v>
      </c>
      <c r="Q124" s="1" t="s">
        <v>31</v>
      </c>
      <c r="R124" s="1" t="s">
        <v>87</v>
      </c>
      <c r="S124">
        <v>856</v>
      </c>
      <c r="T124" s="1" t="s">
        <v>449</v>
      </c>
    </row>
    <row r="125" spans="1:20" x14ac:dyDescent="0.3">
      <c r="A125" s="1" t="s">
        <v>450</v>
      </c>
      <c r="B125" s="1" t="s">
        <v>451</v>
      </c>
      <c r="C125">
        <v>54</v>
      </c>
      <c r="D125" s="1" t="s">
        <v>23</v>
      </c>
      <c r="E125" s="1" t="s">
        <v>36</v>
      </c>
      <c r="F125" s="1" t="s">
        <v>103</v>
      </c>
      <c r="G125" s="1" t="s">
        <v>98</v>
      </c>
      <c r="H125" s="1" t="s">
        <v>155</v>
      </c>
      <c r="I125">
        <v>1314</v>
      </c>
      <c r="J125">
        <v>2026</v>
      </c>
      <c r="K125">
        <v>7972</v>
      </c>
      <c r="L125">
        <v>13271</v>
      </c>
      <c r="M125">
        <v>24583</v>
      </c>
      <c r="N125" s="2">
        <v>45806</v>
      </c>
      <c r="O125" s="2">
        <v>45677</v>
      </c>
      <c r="P125" s="1" t="s">
        <v>34</v>
      </c>
      <c r="Q125" s="1" t="s">
        <v>16</v>
      </c>
      <c r="R125" s="1" t="s">
        <v>17</v>
      </c>
      <c r="S125">
        <v>391</v>
      </c>
      <c r="T125" s="1" t="s">
        <v>452</v>
      </c>
    </row>
    <row r="126" spans="1:20" x14ac:dyDescent="0.3">
      <c r="A126" s="1" t="s">
        <v>453</v>
      </c>
      <c r="B126" s="1" t="s">
        <v>454</v>
      </c>
      <c r="C126">
        <v>64</v>
      </c>
      <c r="D126" s="1" t="s">
        <v>23</v>
      </c>
      <c r="E126" s="1" t="s">
        <v>15</v>
      </c>
      <c r="F126" s="1" t="s">
        <v>135</v>
      </c>
      <c r="G126" s="1" t="s">
        <v>158</v>
      </c>
      <c r="H126" s="1" t="s">
        <v>165</v>
      </c>
      <c r="I126">
        <v>694</v>
      </c>
      <c r="J126">
        <v>1422</v>
      </c>
      <c r="K126">
        <v>3008</v>
      </c>
      <c r="L126">
        <v>3662</v>
      </c>
      <c r="M126">
        <v>8786</v>
      </c>
      <c r="N126" s="2">
        <v>45892</v>
      </c>
      <c r="O126" s="2">
        <v>45989</v>
      </c>
      <c r="P126" s="1" t="s">
        <v>14</v>
      </c>
      <c r="Q126" s="1" t="s">
        <v>21</v>
      </c>
      <c r="R126" s="1" t="s">
        <v>17</v>
      </c>
      <c r="S126">
        <v>681</v>
      </c>
      <c r="T126" s="1" t="s">
        <v>455</v>
      </c>
    </row>
    <row r="127" spans="1:20" x14ac:dyDescent="0.3">
      <c r="A127" s="1" t="s">
        <v>456</v>
      </c>
      <c r="B127" s="1" t="s">
        <v>457</v>
      </c>
      <c r="C127">
        <v>79</v>
      </c>
      <c r="D127" s="1" t="s">
        <v>12</v>
      </c>
      <c r="E127" s="1" t="s">
        <v>20</v>
      </c>
      <c r="F127" s="1" t="s">
        <v>120</v>
      </c>
      <c r="G127" s="1" t="s">
        <v>85</v>
      </c>
      <c r="H127" s="1" t="s">
        <v>186</v>
      </c>
      <c r="I127">
        <v>477</v>
      </c>
      <c r="J127">
        <v>3783</v>
      </c>
      <c r="K127">
        <v>5782</v>
      </c>
      <c r="L127">
        <v>2562</v>
      </c>
      <c r="M127">
        <v>12604</v>
      </c>
      <c r="N127" s="2">
        <v>45752</v>
      </c>
      <c r="O127" s="2">
        <v>45729</v>
      </c>
      <c r="P127" s="1" t="s">
        <v>116</v>
      </c>
      <c r="Q127" s="1" t="s">
        <v>16</v>
      </c>
      <c r="R127" s="1" t="s">
        <v>17</v>
      </c>
      <c r="S127">
        <v>492</v>
      </c>
      <c r="T127" s="1" t="s">
        <v>458</v>
      </c>
    </row>
    <row r="128" spans="1:20" x14ac:dyDescent="0.3">
      <c r="A128" s="1" t="s">
        <v>459</v>
      </c>
      <c r="B128" s="1" t="s">
        <v>460</v>
      </c>
      <c r="C128">
        <v>43</v>
      </c>
      <c r="D128" s="1" t="s">
        <v>12</v>
      </c>
      <c r="E128" s="1" t="s">
        <v>15</v>
      </c>
      <c r="F128" s="1" t="s">
        <v>103</v>
      </c>
      <c r="G128" s="1" t="s">
        <v>125</v>
      </c>
      <c r="H128" s="1" t="s">
        <v>165</v>
      </c>
      <c r="I128">
        <v>1036</v>
      </c>
      <c r="J128">
        <v>2435</v>
      </c>
      <c r="K128">
        <v>808</v>
      </c>
      <c r="L128">
        <v>11941</v>
      </c>
      <c r="M128">
        <v>16220</v>
      </c>
      <c r="N128" s="2">
        <v>45718</v>
      </c>
      <c r="O128" s="2">
        <v>45896</v>
      </c>
      <c r="P128" s="1" t="s">
        <v>14</v>
      </c>
      <c r="Q128" s="1" t="s">
        <v>21</v>
      </c>
      <c r="R128" s="1" t="s">
        <v>87</v>
      </c>
      <c r="S128">
        <v>220</v>
      </c>
      <c r="T128" s="1" t="s">
        <v>461</v>
      </c>
    </row>
    <row r="129" spans="1:20" x14ac:dyDescent="0.3">
      <c r="A129" s="1" t="s">
        <v>462</v>
      </c>
      <c r="B129" s="1" t="s">
        <v>463</v>
      </c>
      <c r="C129">
        <v>79</v>
      </c>
      <c r="D129" s="1" t="s">
        <v>23</v>
      </c>
      <c r="E129" s="1" t="s">
        <v>27</v>
      </c>
      <c r="F129" s="1" t="s">
        <v>84</v>
      </c>
      <c r="G129" s="1" t="s">
        <v>176</v>
      </c>
      <c r="H129" s="1" t="s">
        <v>86</v>
      </c>
      <c r="I129">
        <v>1279</v>
      </c>
      <c r="J129">
        <v>1754</v>
      </c>
      <c r="K129">
        <v>4027</v>
      </c>
      <c r="L129">
        <v>13250</v>
      </c>
      <c r="M129">
        <v>20310</v>
      </c>
      <c r="N129" s="2">
        <v>45968</v>
      </c>
      <c r="O129" s="2">
        <v>45849</v>
      </c>
      <c r="P129" s="1" t="s">
        <v>93</v>
      </c>
      <c r="Q129" s="1" t="s">
        <v>31</v>
      </c>
      <c r="R129" s="1" t="s">
        <v>22</v>
      </c>
      <c r="S129">
        <v>796</v>
      </c>
      <c r="T129" s="1" t="s">
        <v>464</v>
      </c>
    </row>
    <row r="130" spans="1:20" x14ac:dyDescent="0.3">
      <c r="A130" s="1" t="s">
        <v>465</v>
      </c>
      <c r="B130" s="1" t="s">
        <v>466</v>
      </c>
      <c r="C130">
        <v>68</v>
      </c>
      <c r="D130" s="1" t="s">
        <v>12</v>
      </c>
      <c r="E130" s="1" t="s">
        <v>15</v>
      </c>
      <c r="F130" s="1" t="s">
        <v>97</v>
      </c>
      <c r="G130" s="1" t="s">
        <v>85</v>
      </c>
      <c r="H130" s="1" t="s">
        <v>37</v>
      </c>
      <c r="I130">
        <v>1455</v>
      </c>
      <c r="J130">
        <v>1419</v>
      </c>
      <c r="K130">
        <v>805</v>
      </c>
      <c r="L130">
        <v>14578</v>
      </c>
      <c r="M130">
        <v>18257</v>
      </c>
      <c r="N130" s="2">
        <v>45938</v>
      </c>
      <c r="O130" s="2">
        <v>45916</v>
      </c>
      <c r="P130" s="1" t="s">
        <v>19</v>
      </c>
      <c r="Q130" s="1" t="s">
        <v>21</v>
      </c>
      <c r="R130" s="1" t="s">
        <v>87</v>
      </c>
      <c r="S130">
        <v>552</v>
      </c>
      <c r="T130" s="1" t="s">
        <v>467</v>
      </c>
    </row>
    <row r="131" spans="1:20" x14ac:dyDescent="0.3">
      <c r="A131" s="1" t="s">
        <v>468</v>
      </c>
      <c r="B131" s="1" t="s">
        <v>469</v>
      </c>
      <c r="C131">
        <v>63</v>
      </c>
      <c r="D131" s="1" t="s">
        <v>23</v>
      </c>
      <c r="E131" s="1" t="s">
        <v>27</v>
      </c>
      <c r="F131" s="1" t="s">
        <v>135</v>
      </c>
      <c r="G131" s="1" t="s">
        <v>104</v>
      </c>
      <c r="H131" s="1" t="s">
        <v>29</v>
      </c>
      <c r="I131">
        <v>1228</v>
      </c>
      <c r="J131">
        <v>1580</v>
      </c>
      <c r="K131">
        <v>4504</v>
      </c>
      <c r="L131">
        <v>7806</v>
      </c>
      <c r="M131">
        <v>15118</v>
      </c>
      <c r="N131" s="2">
        <v>45891</v>
      </c>
      <c r="O131" s="2">
        <v>45946</v>
      </c>
      <c r="P131" s="1" t="s">
        <v>34</v>
      </c>
      <c r="Q131" s="1" t="s">
        <v>21</v>
      </c>
      <c r="R131" s="1" t="s">
        <v>87</v>
      </c>
      <c r="S131">
        <v>122</v>
      </c>
      <c r="T131" s="1" t="s">
        <v>470</v>
      </c>
    </row>
    <row r="132" spans="1:20" x14ac:dyDescent="0.3">
      <c r="A132" s="1" t="s">
        <v>471</v>
      </c>
      <c r="B132" s="1" t="s">
        <v>472</v>
      </c>
      <c r="C132">
        <v>28</v>
      </c>
      <c r="D132" s="1" t="s">
        <v>23</v>
      </c>
      <c r="E132" s="1" t="s">
        <v>36</v>
      </c>
      <c r="F132" s="1" t="s">
        <v>103</v>
      </c>
      <c r="G132" s="1" t="s">
        <v>125</v>
      </c>
      <c r="H132" s="1" t="s">
        <v>199</v>
      </c>
      <c r="I132">
        <v>1005</v>
      </c>
      <c r="J132">
        <v>1022</v>
      </c>
      <c r="K132">
        <v>4733</v>
      </c>
      <c r="L132">
        <v>1987</v>
      </c>
      <c r="M132">
        <v>8747</v>
      </c>
      <c r="N132" s="2">
        <v>45693</v>
      </c>
      <c r="O132" s="2">
        <v>45899</v>
      </c>
      <c r="P132" s="1" t="s">
        <v>34</v>
      </c>
      <c r="Q132" s="1" t="s">
        <v>31</v>
      </c>
      <c r="R132" s="1" t="s">
        <v>22</v>
      </c>
      <c r="S132">
        <v>884</v>
      </c>
      <c r="T132" s="1" t="s">
        <v>473</v>
      </c>
    </row>
    <row r="133" spans="1:20" x14ac:dyDescent="0.3">
      <c r="A133" s="1" t="s">
        <v>474</v>
      </c>
      <c r="B133" s="1" t="s">
        <v>475</v>
      </c>
      <c r="C133">
        <v>49</v>
      </c>
      <c r="D133" s="1" t="s">
        <v>12</v>
      </c>
      <c r="E133" s="1" t="s">
        <v>38</v>
      </c>
      <c r="F133" s="1" t="s">
        <v>120</v>
      </c>
      <c r="G133" s="1" t="s">
        <v>98</v>
      </c>
      <c r="H133" s="1" t="s">
        <v>155</v>
      </c>
      <c r="I133">
        <v>464</v>
      </c>
      <c r="J133">
        <v>4917</v>
      </c>
      <c r="K133">
        <v>1389</v>
      </c>
      <c r="L133">
        <v>11707</v>
      </c>
      <c r="M133">
        <v>18477</v>
      </c>
      <c r="N133" s="2">
        <v>45836</v>
      </c>
      <c r="O133" s="2">
        <v>45718</v>
      </c>
      <c r="P133" s="1" t="s">
        <v>25</v>
      </c>
      <c r="Q133" s="1" t="s">
        <v>31</v>
      </c>
      <c r="R133" s="1" t="s">
        <v>87</v>
      </c>
      <c r="S133">
        <v>328</v>
      </c>
      <c r="T133" s="1" t="s">
        <v>476</v>
      </c>
    </row>
    <row r="134" spans="1:20" x14ac:dyDescent="0.3">
      <c r="A134" s="1" t="s">
        <v>477</v>
      </c>
      <c r="B134" s="1" t="s">
        <v>478</v>
      </c>
      <c r="C134">
        <v>39</v>
      </c>
      <c r="D134" s="1" t="s">
        <v>12</v>
      </c>
      <c r="E134" s="1" t="s">
        <v>24</v>
      </c>
      <c r="F134" s="1" t="s">
        <v>120</v>
      </c>
      <c r="G134" s="1" t="s">
        <v>158</v>
      </c>
      <c r="H134" s="1" t="s">
        <v>155</v>
      </c>
      <c r="I134">
        <v>770</v>
      </c>
      <c r="J134">
        <v>2527</v>
      </c>
      <c r="K134">
        <v>4073</v>
      </c>
      <c r="L134">
        <v>6671</v>
      </c>
      <c r="M134">
        <v>14041</v>
      </c>
      <c r="N134" s="2">
        <v>45737</v>
      </c>
      <c r="O134" s="2">
        <v>45799</v>
      </c>
      <c r="P134" s="1" t="s">
        <v>19</v>
      </c>
      <c r="Q134" s="1" t="s">
        <v>9</v>
      </c>
      <c r="R134" s="1" t="s">
        <v>87</v>
      </c>
      <c r="S134">
        <v>884</v>
      </c>
      <c r="T134" s="1" t="s">
        <v>479</v>
      </c>
    </row>
    <row r="135" spans="1:20" x14ac:dyDescent="0.3">
      <c r="A135" s="1" t="s">
        <v>480</v>
      </c>
      <c r="B135" s="1" t="s">
        <v>481</v>
      </c>
      <c r="C135">
        <v>27</v>
      </c>
      <c r="D135" s="1" t="s">
        <v>23</v>
      </c>
      <c r="E135" s="1" t="s">
        <v>40</v>
      </c>
      <c r="F135" s="1" t="s">
        <v>114</v>
      </c>
      <c r="G135" s="1" t="s">
        <v>98</v>
      </c>
      <c r="H135" s="1" t="s">
        <v>29</v>
      </c>
      <c r="I135">
        <v>1214</v>
      </c>
      <c r="J135">
        <v>898</v>
      </c>
      <c r="K135">
        <v>2304</v>
      </c>
      <c r="L135">
        <v>13133</v>
      </c>
      <c r="M135">
        <v>17549</v>
      </c>
      <c r="N135" s="2">
        <v>45680</v>
      </c>
      <c r="O135" s="2">
        <v>45863</v>
      </c>
      <c r="P135" s="1" t="s">
        <v>116</v>
      </c>
      <c r="Q135" s="1" t="s">
        <v>31</v>
      </c>
      <c r="R135" s="1" t="s">
        <v>22</v>
      </c>
      <c r="S135">
        <v>243</v>
      </c>
      <c r="T135" s="1" t="s">
        <v>482</v>
      </c>
    </row>
    <row r="136" spans="1:20" x14ac:dyDescent="0.3">
      <c r="A136" s="1" t="s">
        <v>483</v>
      </c>
      <c r="B136" s="1" t="s">
        <v>131</v>
      </c>
      <c r="C136">
        <v>74</v>
      </c>
      <c r="D136" s="1" t="s">
        <v>12</v>
      </c>
      <c r="E136" s="1" t="s">
        <v>36</v>
      </c>
      <c r="F136" s="1" t="s">
        <v>97</v>
      </c>
      <c r="G136" s="1" t="s">
        <v>158</v>
      </c>
      <c r="H136" s="1" t="s">
        <v>105</v>
      </c>
      <c r="I136">
        <v>918</v>
      </c>
      <c r="J136">
        <v>1673</v>
      </c>
      <c r="K136">
        <v>5708</v>
      </c>
      <c r="L136">
        <v>9540</v>
      </c>
      <c r="M136">
        <v>17839</v>
      </c>
      <c r="N136" s="2">
        <v>45771</v>
      </c>
      <c r="O136" s="2">
        <v>45869</v>
      </c>
      <c r="P136" s="1" t="s">
        <v>14</v>
      </c>
      <c r="Q136" s="1" t="s">
        <v>31</v>
      </c>
      <c r="R136" s="1" t="s">
        <v>87</v>
      </c>
      <c r="S136">
        <v>795</v>
      </c>
      <c r="T136" s="1" t="s">
        <v>484</v>
      </c>
    </row>
    <row r="137" spans="1:20" x14ac:dyDescent="0.3">
      <c r="A137" s="1" t="s">
        <v>485</v>
      </c>
      <c r="B137" s="1" t="s">
        <v>151</v>
      </c>
      <c r="C137">
        <v>7</v>
      </c>
      <c r="D137" s="1" t="s">
        <v>12</v>
      </c>
      <c r="E137" s="1" t="s">
        <v>27</v>
      </c>
      <c r="F137" s="1" t="s">
        <v>120</v>
      </c>
      <c r="G137" s="1" t="s">
        <v>85</v>
      </c>
      <c r="H137" s="1" t="s">
        <v>186</v>
      </c>
      <c r="I137">
        <v>1152</v>
      </c>
      <c r="J137">
        <v>3844</v>
      </c>
      <c r="K137">
        <v>1522</v>
      </c>
      <c r="L137">
        <v>5913</v>
      </c>
      <c r="M137">
        <v>12431</v>
      </c>
      <c r="N137" s="2">
        <v>45850</v>
      </c>
      <c r="O137" s="2">
        <v>45752</v>
      </c>
      <c r="P137" s="1" t="s">
        <v>110</v>
      </c>
      <c r="Q137" s="1" t="s">
        <v>31</v>
      </c>
      <c r="R137" s="1" t="s">
        <v>17</v>
      </c>
      <c r="S137">
        <v>978</v>
      </c>
      <c r="T137" s="1" t="s">
        <v>486</v>
      </c>
    </row>
    <row r="138" spans="1:20" x14ac:dyDescent="0.3">
      <c r="A138" s="1" t="s">
        <v>487</v>
      </c>
      <c r="B138" s="1" t="s">
        <v>488</v>
      </c>
      <c r="C138">
        <v>8</v>
      </c>
      <c r="D138" s="1" t="s">
        <v>12</v>
      </c>
      <c r="E138" s="1" t="s">
        <v>27</v>
      </c>
      <c r="F138" s="1" t="s">
        <v>120</v>
      </c>
      <c r="G138" s="1" t="s">
        <v>176</v>
      </c>
      <c r="H138" s="1" t="s">
        <v>86</v>
      </c>
      <c r="I138">
        <v>1095</v>
      </c>
      <c r="J138">
        <v>2489</v>
      </c>
      <c r="K138">
        <v>2388</v>
      </c>
      <c r="L138">
        <v>4331</v>
      </c>
      <c r="M138">
        <v>10303</v>
      </c>
      <c r="N138" s="2">
        <v>45827</v>
      </c>
      <c r="O138" s="2">
        <v>45989</v>
      </c>
      <c r="P138" s="1" t="s">
        <v>35</v>
      </c>
      <c r="Q138" s="1" t="s">
        <v>21</v>
      </c>
      <c r="R138" s="1" t="s">
        <v>22</v>
      </c>
      <c r="S138">
        <v>648</v>
      </c>
      <c r="T138" s="1" t="s">
        <v>489</v>
      </c>
    </row>
    <row r="139" spans="1:20" x14ac:dyDescent="0.3">
      <c r="A139" s="1" t="s">
        <v>490</v>
      </c>
      <c r="B139" s="1" t="s">
        <v>491</v>
      </c>
      <c r="C139">
        <v>35</v>
      </c>
      <c r="D139" s="1" t="s">
        <v>12</v>
      </c>
      <c r="E139" s="1" t="s">
        <v>40</v>
      </c>
      <c r="F139" s="1" t="s">
        <v>103</v>
      </c>
      <c r="G139" s="1" t="s">
        <v>85</v>
      </c>
      <c r="H139" s="1" t="s">
        <v>37</v>
      </c>
      <c r="I139">
        <v>685</v>
      </c>
      <c r="J139">
        <v>2277</v>
      </c>
      <c r="K139">
        <v>4227</v>
      </c>
      <c r="L139">
        <v>4422</v>
      </c>
      <c r="M139">
        <v>11611</v>
      </c>
      <c r="N139" s="2">
        <v>45828</v>
      </c>
      <c r="O139" s="2">
        <v>45813</v>
      </c>
      <c r="P139" s="1" t="s">
        <v>34</v>
      </c>
      <c r="Q139" s="1" t="s">
        <v>16</v>
      </c>
      <c r="R139" s="1" t="s">
        <v>87</v>
      </c>
      <c r="S139">
        <v>872</v>
      </c>
      <c r="T139" s="1" t="s">
        <v>492</v>
      </c>
    </row>
    <row r="140" spans="1:20" x14ac:dyDescent="0.3">
      <c r="A140" s="1" t="s">
        <v>493</v>
      </c>
      <c r="B140" s="1" t="s">
        <v>494</v>
      </c>
      <c r="C140">
        <v>27</v>
      </c>
      <c r="D140" s="1" t="s">
        <v>12</v>
      </c>
      <c r="E140" s="1" t="s">
        <v>36</v>
      </c>
      <c r="F140" s="1" t="s">
        <v>84</v>
      </c>
      <c r="G140" s="1" t="s">
        <v>91</v>
      </c>
      <c r="H140" s="1" t="s">
        <v>186</v>
      </c>
      <c r="I140">
        <v>879</v>
      </c>
      <c r="J140">
        <v>3618</v>
      </c>
      <c r="K140">
        <v>4119</v>
      </c>
      <c r="L140">
        <v>9743</v>
      </c>
      <c r="M140">
        <v>18359</v>
      </c>
      <c r="N140" s="2">
        <v>45990</v>
      </c>
      <c r="O140" s="2">
        <v>45841</v>
      </c>
      <c r="P140" s="1" t="s">
        <v>14</v>
      </c>
      <c r="Q140" s="1" t="s">
        <v>9</v>
      </c>
      <c r="R140" s="1" t="s">
        <v>17</v>
      </c>
      <c r="S140">
        <v>200</v>
      </c>
      <c r="T140" s="1" t="s">
        <v>495</v>
      </c>
    </row>
    <row r="141" spans="1:20" x14ac:dyDescent="0.3">
      <c r="A141" s="1" t="s">
        <v>496</v>
      </c>
      <c r="B141" s="1" t="s">
        <v>497</v>
      </c>
      <c r="C141">
        <v>27</v>
      </c>
      <c r="D141" s="1" t="s">
        <v>12</v>
      </c>
      <c r="E141" s="1" t="s">
        <v>38</v>
      </c>
      <c r="F141" s="1" t="s">
        <v>97</v>
      </c>
      <c r="G141" s="1" t="s">
        <v>91</v>
      </c>
      <c r="H141" s="1" t="s">
        <v>199</v>
      </c>
      <c r="I141">
        <v>393</v>
      </c>
      <c r="J141">
        <v>2312</v>
      </c>
      <c r="K141">
        <v>6372</v>
      </c>
      <c r="L141">
        <v>3390</v>
      </c>
      <c r="M141">
        <v>12467</v>
      </c>
      <c r="N141" s="2">
        <v>45666</v>
      </c>
      <c r="O141" s="2">
        <v>45791</v>
      </c>
      <c r="P141" s="1" t="s">
        <v>110</v>
      </c>
      <c r="Q141" s="1" t="s">
        <v>31</v>
      </c>
      <c r="R141" s="1" t="s">
        <v>22</v>
      </c>
      <c r="S141">
        <v>437</v>
      </c>
      <c r="T141" s="1" t="s">
        <v>498</v>
      </c>
    </row>
    <row r="142" spans="1:20" x14ac:dyDescent="0.3">
      <c r="A142" s="1" t="s">
        <v>499</v>
      </c>
      <c r="B142" s="1" t="s">
        <v>286</v>
      </c>
      <c r="C142">
        <v>32</v>
      </c>
      <c r="D142" s="1" t="s">
        <v>12</v>
      </c>
      <c r="E142" s="1" t="s">
        <v>27</v>
      </c>
      <c r="F142" s="1" t="s">
        <v>97</v>
      </c>
      <c r="G142" s="1" t="s">
        <v>85</v>
      </c>
      <c r="H142" s="1" t="s">
        <v>165</v>
      </c>
      <c r="I142">
        <v>1300</v>
      </c>
      <c r="J142">
        <v>4518</v>
      </c>
      <c r="K142">
        <v>4075</v>
      </c>
      <c r="L142">
        <v>3756</v>
      </c>
      <c r="M142">
        <v>13649</v>
      </c>
      <c r="N142" s="2">
        <v>45838</v>
      </c>
      <c r="O142" s="2">
        <v>45744</v>
      </c>
      <c r="P142" s="1" t="s">
        <v>25</v>
      </c>
      <c r="Q142" s="1" t="s">
        <v>16</v>
      </c>
      <c r="R142" s="1" t="s">
        <v>87</v>
      </c>
      <c r="S142">
        <v>134</v>
      </c>
      <c r="T142" s="1" t="s">
        <v>500</v>
      </c>
    </row>
    <row r="143" spans="1:20" x14ac:dyDescent="0.3">
      <c r="A143" s="1" t="s">
        <v>501</v>
      </c>
      <c r="B143" s="1" t="s">
        <v>502</v>
      </c>
      <c r="C143">
        <v>1</v>
      </c>
      <c r="D143" s="1" t="s">
        <v>12</v>
      </c>
      <c r="E143" s="1" t="s">
        <v>33</v>
      </c>
      <c r="F143" s="1" t="s">
        <v>109</v>
      </c>
      <c r="G143" s="1" t="s">
        <v>98</v>
      </c>
      <c r="H143" s="1" t="s">
        <v>105</v>
      </c>
      <c r="I143">
        <v>439</v>
      </c>
      <c r="J143">
        <v>1737</v>
      </c>
      <c r="K143">
        <v>374</v>
      </c>
      <c r="L143">
        <v>4583</v>
      </c>
      <c r="M143">
        <v>7133</v>
      </c>
      <c r="N143" s="2">
        <v>45916</v>
      </c>
      <c r="O143" s="2">
        <v>45891</v>
      </c>
      <c r="P143" s="1" t="s">
        <v>177</v>
      </c>
      <c r="Q143" s="1" t="s">
        <v>9</v>
      </c>
      <c r="R143" s="1" t="s">
        <v>87</v>
      </c>
      <c r="S143">
        <v>599</v>
      </c>
      <c r="T143" s="1" t="s">
        <v>503</v>
      </c>
    </row>
    <row r="144" spans="1:20" x14ac:dyDescent="0.3">
      <c r="A144" s="1" t="s">
        <v>504</v>
      </c>
      <c r="B144" s="1" t="s">
        <v>505</v>
      </c>
      <c r="C144">
        <v>71</v>
      </c>
      <c r="D144" s="1" t="s">
        <v>12</v>
      </c>
      <c r="E144" s="1" t="s">
        <v>15</v>
      </c>
      <c r="F144" s="1" t="s">
        <v>103</v>
      </c>
      <c r="G144" s="1" t="s">
        <v>158</v>
      </c>
      <c r="H144" s="1" t="s">
        <v>18</v>
      </c>
      <c r="I144">
        <v>1384</v>
      </c>
      <c r="J144">
        <v>2750</v>
      </c>
      <c r="K144">
        <v>4688</v>
      </c>
      <c r="L144">
        <v>5697</v>
      </c>
      <c r="M144">
        <v>14519</v>
      </c>
      <c r="N144" s="2">
        <v>45666</v>
      </c>
      <c r="O144" s="2">
        <v>45915</v>
      </c>
      <c r="P144" s="1" t="s">
        <v>93</v>
      </c>
      <c r="Q144" s="1" t="s">
        <v>16</v>
      </c>
      <c r="R144" s="1" t="s">
        <v>87</v>
      </c>
      <c r="S144">
        <v>252</v>
      </c>
      <c r="T144" s="1" t="s">
        <v>506</v>
      </c>
    </row>
    <row r="145" spans="1:20" x14ac:dyDescent="0.3">
      <c r="A145" s="1" t="s">
        <v>507</v>
      </c>
      <c r="B145" s="1" t="s">
        <v>508</v>
      </c>
      <c r="C145">
        <v>68</v>
      </c>
      <c r="D145" s="1" t="s">
        <v>12</v>
      </c>
      <c r="E145" s="1" t="s">
        <v>40</v>
      </c>
      <c r="F145" s="1" t="s">
        <v>97</v>
      </c>
      <c r="G145" s="1" t="s">
        <v>91</v>
      </c>
      <c r="H145" s="1" t="s">
        <v>165</v>
      </c>
      <c r="I145">
        <v>1112</v>
      </c>
      <c r="J145">
        <v>1147</v>
      </c>
      <c r="K145">
        <v>3356</v>
      </c>
      <c r="L145">
        <v>7652</v>
      </c>
      <c r="M145">
        <v>13267</v>
      </c>
      <c r="N145" s="2">
        <v>45893</v>
      </c>
      <c r="O145" s="2">
        <v>45947</v>
      </c>
      <c r="P145" s="1" t="s">
        <v>19</v>
      </c>
      <c r="Q145" s="1" t="s">
        <v>16</v>
      </c>
      <c r="R145" s="1" t="s">
        <v>87</v>
      </c>
      <c r="S145">
        <v>978</v>
      </c>
      <c r="T145" s="1" t="s">
        <v>509</v>
      </c>
    </row>
    <row r="146" spans="1:20" x14ac:dyDescent="0.3">
      <c r="A146" s="1" t="s">
        <v>510</v>
      </c>
      <c r="B146" s="1" t="s">
        <v>511</v>
      </c>
      <c r="C146">
        <v>52</v>
      </c>
      <c r="D146" s="1" t="s">
        <v>12</v>
      </c>
      <c r="E146" s="1" t="s">
        <v>20</v>
      </c>
      <c r="F146" s="1" t="s">
        <v>120</v>
      </c>
      <c r="G146" s="1" t="s">
        <v>98</v>
      </c>
      <c r="H146" s="1" t="s">
        <v>215</v>
      </c>
      <c r="I146">
        <v>414</v>
      </c>
      <c r="J146">
        <v>577</v>
      </c>
      <c r="K146">
        <v>6057</v>
      </c>
      <c r="L146">
        <v>3807</v>
      </c>
      <c r="M146">
        <v>10855</v>
      </c>
      <c r="N146" s="2">
        <v>45700</v>
      </c>
      <c r="O146" s="2">
        <v>45913</v>
      </c>
      <c r="P146" s="1" t="s">
        <v>93</v>
      </c>
      <c r="Q146" s="1" t="s">
        <v>16</v>
      </c>
      <c r="R146" s="1" t="s">
        <v>87</v>
      </c>
      <c r="S146">
        <v>143</v>
      </c>
      <c r="T146" s="1" t="s">
        <v>512</v>
      </c>
    </row>
    <row r="147" spans="1:20" x14ac:dyDescent="0.3">
      <c r="A147" s="1" t="s">
        <v>513</v>
      </c>
      <c r="B147" s="1" t="s">
        <v>469</v>
      </c>
      <c r="C147">
        <v>61</v>
      </c>
      <c r="D147" s="1" t="s">
        <v>12</v>
      </c>
      <c r="E147" s="1" t="s">
        <v>33</v>
      </c>
      <c r="F147" s="1" t="s">
        <v>103</v>
      </c>
      <c r="G147" s="1" t="s">
        <v>85</v>
      </c>
      <c r="H147" s="1" t="s">
        <v>37</v>
      </c>
      <c r="I147">
        <v>874</v>
      </c>
      <c r="J147">
        <v>4948</v>
      </c>
      <c r="K147">
        <v>4916</v>
      </c>
      <c r="L147">
        <v>11782</v>
      </c>
      <c r="M147">
        <v>22520</v>
      </c>
      <c r="N147" s="2">
        <v>45674</v>
      </c>
      <c r="O147" s="2">
        <v>45749</v>
      </c>
      <c r="P147" s="1" t="s">
        <v>177</v>
      </c>
      <c r="Q147" s="1" t="s">
        <v>31</v>
      </c>
      <c r="R147" s="1" t="s">
        <v>87</v>
      </c>
      <c r="S147">
        <v>940</v>
      </c>
      <c r="T147" s="1" t="s">
        <v>514</v>
      </c>
    </row>
    <row r="148" spans="1:20" x14ac:dyDescent="0.3">
      <c r="A148" s="1" t="s">
        <v>515</v>
      </c>
      <c r="B148" s="1" t="s">
        <v>516</v>
      </c>
      <c r="C148">
        <v>21</v>
      </c>
      <c r="D148" s="1" t="s">
        <v>23</v>
      </c>
      <c r="E148" s="1" t="s">
        <v>33</v>
      </c>
      <c r="F148" s="1" t="s">
        <v>120</v>
      </c>
      <c r="G148" s="1" t="s">
        <v>158</v>
      </c>
      <c r="H148" s="1" t="s">
        <v>186</v>
      </c>
      <c r="I148">
        <v>1086</v>
      </c>
      <c r="J148">
        <v>1646</v>
      </c>
      <c r="K148">
        <v>6775</v>
      </c>
      <c r="L148">
        <v>12293</v>
      </c>
      <c r="M148">
        <v>21800</v>
      </c>
      <c r="N148" s="2">
        <v>45698</v>
      </c>
      <c r="O148" s="2">
        <v>45914</v>
      </c>
      <c r="P148" s="1" t="s">
        <v>177</v>
      </c>
      <c r="Q148" s="1" t="s">
        <v>9</v>
      </c>
      <c r="R148" s="1" t="s">
        <v>22</v>
      </c>
      <c r="S148">
        <v>958</v>
      </c>
      <c r="T148" s="1" t="s">
        <v>517</v>
      </c>
    </row>
    <row r="149" spans="1:20" x14ac:dyDescent="0.3">
      <c r="A149" s="1" t="s">
        <v>518</v>
      </c>
      <c r="B149" s="1" t="s">
        <v>354</v>
      </c>
      <c r="C149">
        <v>79</v>
      </c>
      <c r="D149" s="1" t="s">
        <v>12</v>
      </c>
      <c r="E149" s="1" t="s">
        <v>38</v>
      </c>
      <c r="F149" s="1" t="s">
        <v>97</v>
      </c>
      <c r="G149" s="1" t="s">
        <v>85</v>
      </c>
      <c r="H149" s="1" t="s">
        <v>18</v>
      </c>
      <c r="I149">
        <v>859</v>
      </c>
      <c r="J149">
        <v>4190</v>
      </c>
      <c r="K149">
        <v>4319</v>
      </c>
      <c r="L149">
        <v>4737</v>
      </c>
      <c r="M149">
        <v>14105</v>
      </c>
      <c r="N149" s="2">
        <v>45840</v>
      </c>
      <c r="O149" s="2">
        <v>45941</v>
      </c>
      <c r="P149" s="1" t="s">
        <v>93</v>
      </c>
      <c r="Q149" s="1" t="s">
        <v>9</v>
      </c>
      <c r="R149" s="1" t="s">
        <v>22</v>
      </c>
      <c r="S149">
        <v>890</v>
      </c>
      <c r="T149" s="1" t="s">
        <v>519</v>
      </c>
    </row>
    <row r="150" spans="1:20" x14ac:dyDescent="0.3">
      <c r="A150" s="1" t="s">
        <v>520</v>
      </c>
      <c r="B150" s="1" t="s">
        <v>131</v>
      </c>
      <c r="C150">
        <v>10</v>
      </c>
      <c r="D150" s="1" t="s">
        <v>23</v>
      </c>
      <c r="E150" s="1" t="s">
        <v>24</v>
      </c>
      <c r="F150" s="1" t="s">
        <v>124</v>
      </c>
      <c r="G150" s="1" t="s">
        <v>158</v>
      </c>
      <c r="H150" s="1" t="s">
        <v>86</v>
      </c>
      <c r="I150">
        <v>1078</v>
      </c>
      <c r="J150">
        <v>1763</v>
      </c>
      <c r="K150">
        <v>6359</v>
      </c>
      <c r="L150">
        <v>7383</v>
      </c>
      <c r="M150">
        <v>16583</v>
      </c>
      <c r="N150" s="2">
        <v>45820</v>
      </c>
      <c r="O150" s="2">
        <v>45842</v>
      </c>
      <c r="P150" s="1" t="s">
        <v>35</v>
      </c>
      <c r="Q150" s="1" t="s">
        <v>21</v>
      </c>
      <c r="R150" s="1" t="s">
        <v>17</v>
      </c>
      <c r="S150">
        <v>468</v>
      </c>
      <c r="T150" s="1" t="s">
        <v>521</v>
      </c>
    </row>
    <row r="151" spans="1:20" x14ac:dyDescent="0.3">
      <c r="A151" s="1" t="s">
        <v>522</v>
      </c>
      <c r="B151" s="1" t="s">
        <v>523</v>
      </c>
      <c r="C151">
        <v>17</v>
      </c>
      <c r="D151" s="1" t="s">
        <v>23</v>
      </c>
      <c r="E151" s="1" t="s">
        <v>24</v>
      </c>
      <c r="F151" s="1" t="s">
        <v>109</v>
      </c>
      <c r="G151" s="1" t="s">
        <v>98</v>
      </c>
      <c r="H151" s="1" t="s">
        <v>199</v>
      </c>
      <c r="I151">
        <v>1219</v>
      </c>
      <c r="J151">
        <v>4697</v>
      </c>
      <c r="K151">
        <v>3642</v>
      </c>
      <c r="L151">
        <v>2692</v>
      </c>
      <c r="M151">
        <v>12250</v>
      </c>
      <c r="N151" s="2">
        <v>45671</v>
      </c>
      <c r="O151" s="2">
        <v>45703</v>
      </c>
      <c r="P151" s="1" t="s">
        <v>177</v>
      </c>
      <c r="Q151" s="1" t="s">
        <v>21</v>
      </c>
      <c r="R151" s="1" t="s">
        <v>17</v>
      </c>
      <c r="S151">
        <v>112</v>
      </c>
      <c r="T151" s="1" t="s">
        <v>524</v>
      </c>
    </row>
    <row r="152" spans="1:20" x14ac:dyDescent="0.3">
      <c r="A152" s="1" t="s">
        <v>525</v>
      </c>
      <c r="B152" s="1" t="s">
        <v>51</v>
      </c>
      <c r="C152">
        <v>11</v>
      </c>
      <c r="D152" s="1" t="s">
        <v>23</v>
      </c>
      <c r="E152" s="1" t="s">
        <v>24</v>
      </c>
      <c r="F152" s="1" t="s">
        <v>109</v>
      </c>
      <c r="G152" s="1" t="s">
        <v>85</v>
      </c>
      <c r="H152" s="1" t="s">
        <v>155</v>
      </c>
      <c r="I152">
        <v>647</v>
      </c>
      <c r="J152">
        <v>1637</v>
      </c>
      <c r="K152">
        <v>2502</v>
      </c>
      <c r="L152">
        <v>5933</v>
      </c>
      <c r="M152">
        <v>10719</v>
      </c>
      <c r="N152" s="2">
        <v>45795</v>
      </c>
      <c r="O152" s="2">
        <v>45910</v>
      </c>
      <c r="P152" s="1" t="s">
        <v>25</v>
      </c>
      <c r="Q152" s="1" t="s">
        <v>9</v>
      </c>
      <c r="R152" s="1" t="s">
        <v>17</v>
      </c>
      <c r="S152">
        <v>531</v>
      </c>
      <c r="T152" s="1" t="s">
        <v>526</v>
      </c>
    </row>
    <row r="153" spans="1:20" x14ac:dyDescent="0.3">
      <c r="A153" s="1" t="s">
        <v>527</v>
      </c>
      <c r="B153" s="1" t="s">
        <v>65</v>
      </c>
      <c r="C153">
        <v>47</v>
      </c>
      <c r="D153" s="1" t="s">
        <v>12</v>
      </c>
      <c r="E153" s="1" t="s">
        <v>20</v>
      </c>
      <c r="F153" s="1" t="s">
        <v>84</v>
      </c>
      <c r="G153" s="1" t="s">
        <v>176</v>
      </c>
      <c r="H153" s="1" t="s">
        <v>215</v>
      </c>
      <c r="I153">
        <v>700</v>
      </c>
      <c r="J153">
        <v>4250</v>
      </c>
      <c r="K153">
        <v>1176</v>
      </c>
      <c r="L153">
        <v>3219</v>
      </c>
      <c r="M153">
        <v>9345</v>
      </c>
      <c r="N153" s="2">
        <v>45813</v>
      </c>
      <c r="O153" s="2">
        <v>45661</v>
      </c>
      <c r="P153" s="1" t="s">
        <v>93</v>
      </c>
      <c r="Q153" s="1" t="s">
        <v>9</v>
      </c>
      <c r="R153" s="1" t="s">
        <v>17</v>
      </c>
      <c r="S153">
        <v>550</v>
      </c>
      <c r="T153" s="1" t="s">
        <v>528</v>
      </c>
    </row>
    <row r="154" spans="1:20" x14ac:dyDescent="0.3">
      <c r="A154" s="1" t="s">
        <v>529</v>
      </c>
      <c r="B154" s="1" t="s">
        <v>173</v>
      </c>
      <c r="C154">
        <v>18</v>
      </c>
      <c r="D154" s="1" t="s">
        <v>12</v>
      </c>
      <c r="E154" s="1" t="s">
        <v>40</v>
      </c>
      <c r="F154" s="1" t="s">
        <v>97</v>
      </c>
      <c r="G154" s="1" t="s">
        <v>91</v>
      </c>
      <c r="H154" s="1" t="s">
        <v>115</v>
      </c>
      <c r="I154">
        <v>1281</v>
      </c>
      <c r="J154">
        <v>3073</v>
      </c>
      <c r="K154">
        <v>1755</v>
      </c>
      <c r="L154">
        <v>7524</v>
      </c>
      <c r="M154">
        <v>13633</v>
      </c>
      <c r="N154" s="2">
        <v>45821</v>
      </c>
      <c r="O154" s="2">
        <v>45807</v>
      </c>
      <c r="P154" s="1" t="s">
        <v>116</v>
      </c>
      <c r="Q154" s="1" t="s">
        <v>9</v>
      </c>
      <c r="R154" s="1" t="s">
        <v>17</v>
      </c>
      <c r="S154">
        <v>936</v>
      </c>
      <c r="T154" s="1" t="s">
        <v>530</v>
      </c>
    </row>
    <row r="155" spans="1:20" x14ac:dyDescent="0.3">
      <c r="A155" s="1" t="s">
        <v>531</v>
      </c>
      <c r="B155" s="1" t="s">
        <v>532</v>
      </c>
      <c r="C155">
        <v>15</v>
      </c>
      <c r="D155" s="1" t="s">
        <v>23</v>
      </c>
      <c r="E155" s="1" t="s">
        <v>38</v>
      </c>
      <c r="F155" s="1" t="s">
        <v>109</v>
      </c>
      <c r="G155" s="1" t="s">
        <v>104</v>
      </c>
      <c r="H155" s="1" t="s">
        <v>18</v>
      </c>
      <c r="I155">
        <v>1245</v>
      </c>
      <c r="J155">
        <v>2217</v>
      </c>
      <c r="K155">
        <v>3891</v>
      </c>
      <c r="L155">
        <v>14069</v>
      </c>
      <c r="M155">
        <v>21422</v>
      </c>
      <c r="N155" s="2">
        <v>45807</v>
      </c>
      <c r="O155" s="2">
        <v>46012</v>
      </c>
      <c r="P155" s="1" t="s">
        <v>35</v>
      </c>
      <c r="Q155" s="1" t="s">
        <v>9</v>
      </c>
      <c r="R155" s="1" t="s">
        <v>22</v>
      </c>
      <c r="S155">
        <v>748</v>
      </c>
      <c r="T155" s="1" t="s">
        <v>533</v>
      </c>
    </row>
    <row r="156" spans="1:20" x14ac:dyDescent="0.3">
      <c r="A156" s="1" t="s">
        <v>534</v>
      </c>
      <c r="B156" s="1" t="s">
        <v>202</v>
      </c>
      <c r="C156">
        <v>85</v>
      </c>
      <c r="D156" s="1" t="s">
        <v>23</v>
      </c>
      <c r="E156" s="1" t="s">
        <v>38</v>
      </c>
      <c r="F156" s="1" t="s">
        <v>120</v>
      </c>
      <c r="G156" s="1" t="s">
        <v>98</v>
      </c>
      <c r="H156" s="1" t="s">
        <v>155</v>
      </c>
      <c r="I156">
        <v>451</v>
      </c>
      <c r="J156">
        <v>4178</v>
      </c>
      <c r="K156">
        <v>5198</v>
      </c>
      <c r="L156">
        <v>8851</v>
      </c>
      <c r="M156">
        <v>18678</v>
      </c>
      <c r="N156" s="2">
        <v>45956</v>
      </c>
      <c r="O156" s="2">
        <v>45863</v>
      </c>
      <c r="P156" s="1" t="s">
        <v>110</v>
      </c>
      <c r="Q156" s="1" t="s">
        <v>16</v>
      </c>
      <c r="R156" s="1" t="s">
        <v>17</v>
      </c>
      <c r="S156">
        <v>818</v>
      </c>
      <c r="T156" s="1" t="s">
        <v>535</v>
      </c>
    </row>
    <row r="157" spans="1:20" x14ac:dyDescent="0.3">
      <c r="A157" s="1" t="s">
        <v>536</v>
      </c>
      <c r="B157" s="1" t="s">
        <v>537</v>
      </c>
      <c r="C157">
        <v>82</v>
      </c>
      <c r="D157" s="1" t="s">
        <v>23</v>
      </c>
      <c r="E157" s="1" t="s">
        <v>20</v>
      </c>
      <c r="F157" s="1" t="s">
        <v>114</v>
      </c>
      <c r="G157" s="1" t="s">
        <v>176</v>
      </c>
      <c r="H157" s="1" t="s">
        <v>105</v>
      </c>
      <c r="I157">
        <v>1027</v>
      </c>
      <c r="J157">
        <v>1862</v>
      </c>
      <c r="K157">
        <v>5600</v>
      </c>
      <c r="L157">
        <v>11038</v>
      </c>
      <c r="M157">
        <v>19527</v>
      </c>
      <c r="N157" s="2">
        <v>45680</v>
      </c>
      <c r="O157" s="2">
        <v>45946</v>
      </c>
      <c r="P157" s="1" t="s">
        <v>93</v>
      </c>
      <c r="Q157" s="1" t="s">
        <v>9</v>
      </c>
      <c r="R157" s="1" t="s">
        <v>22</v>
      </c>
      <c r="S157">
        <v>110</v>
      </c>
      <c r="T157" s="1" t="s">
        <v>538</v>
      </c>
    </row>
    <row r="158" spans="1:20" x14ac:dyDescent="0.3">
      <c r="A158" s="1" t="s">
        <v>539</v>
      </c>
      <c r="B158" s="1" t="s">
        <v>540</v>
      </c>
      <c r="C158">
        <v>66</v>
      </c>
      <c r="D158" s="1" t="s">
        <v>23</v>
      </c>
      <c r="E158" s="1" t="s">
        <v>15</v>
      </c>
      <c r="F158" s="1" t="s">
        <v>135</v>
      </c>
      <c r="G158" s="1" t="s">
        <v>91</v>
      </c>
      <c r="H158" s="1" t="s">
        <v>99</v>
      </c>
      <c r="I158">
        <v>1101</v>
      </c>
      <c r="J158">
        <v>4293</v>
      </c>
      <c r="K158">
        <v>6627</v>
      </c>
      <c r="L158">
        <v>12133</v>
      </c>
      <c r="M158">
        <v>24154</v>
      </c>
      <c r="N158" s="2">
        <v>45959</v>
      </c>
      <c r="O158" s="2">
        <v>46011</v>
      </c>
      <c r="P158" s="1" t="s">
        <v>110</v>
      </c>
      <c r="Q158" s="1" t="s">
        <v>16</v>
      </c>
      <c r="R158" s="1" t="s">
        <v>17</v>
      </c>
      <c r="S158">
        <v>207</v>
      </c>
      <c r="T158" s="1" t="s">
        <v>541</v>
      </c>
    </row>
    <row r="159" spans="1:20" x14ac:dyDescent="0.3">
      <c r="A159" s="1" t="s">
        <v>542</v>
      </c>
      <c r="B159" s="1" t="s">
        <v>49</v>
      </c>
      <c r="C159">
        <v>15</v>
      </c>
      <c r="D159" s="1" t="s">
        <v>23</v>
      </c>
      <c r="E159" s="1" t="s">
        <v>27</v>
      </c>
      <c r="F159" s="1" t="s">
        <v>97</v>
      </c>
      <c r="G159" s="1" t="s">
        <v>158</v>
      </c>
      <c r="H159" s="1" t="s">
        <v>26</v>
      </c>
      <c r="I159">
        <v>1002</v>
      </c>
      <c r="J159">
        <v>4230</v>
      </c>
      <c r="K159">
        <v>6724</v>
      </c>
      <c r="L159">
        <v>4389</v>
      </c>
      <c r="M159">
        <v>16345</v>
      </c>
      <c r="N159" s="2">
        <v>45924</v>
      </c>
      <c r="O159" s="2">
        <v>45905</v>
      </c>
      <c r="P159" s="1" t="s">
        <v>177</v>
      </c>
      <c r="Q159" s="1" t="s">
        <v>9</v>
      </c>
      <c r="R159" s="1" t="s">
        <v>87</v>
      </c>
      <c r="S159">
        <v>813</v>
      </c>
      <c r="T159" s="1" t="s">
        <v>543</v>
      </c>
    </row>
    <row r="160" spans="1:20" x14ac:dyDescent="0.3">
      <c r="A160" s="1" t="s">
        <v>544</v>
      </c>
      <c r="B160" s="1" t="s">
        <v>41</v>
      </c>
      <c r="C160">
        <v>39</v>
      </c>
      <c r="D160" s="1" t="s">
        <v>23</v>
      </c>
      <c r="E160" s="1" t="s">
        <v>15</v>
      </c>
      <c r="F160" s="1" t="s">
        <v>114</v>
      </c>
      <c r="G160" s="1" t="s">
        <v>98</v>
      </c>
      <c r="H160" s="1" t="s">
        <v>18</v>
      </c>
      <c r="I160">
        <v>1002</v>
      </c>
      <c r="J160">
        <v>1395</v>
      </c>
      <c r="K160">
        <v>5847</v>
      </c>
      <c r="L160">
        <v>14108</v>
      </c>
      <c r="M160">
        <v>22352</v>
      </c>
      <c r="N160" s="2">
        <v>45742</v>
      </c>
      <c r="O160" s="2">
        <v>45782</v>
      </c>
      <c r="P160" s="1" t="s">
        <v>110</v>
      </c>
      <c r="Q160" s="1" t="s">
        <v>31</v>
      </c>
      <c r="R160" s="1" t="s">
        <v>17</v>
      </c>
      <c r="S160">
        <v>673</v>
      </c>
      <c r="T160" s="1" t="s">
        <v>545</v>
      </c>
    </row>
    <row r="161" spans="1:20" x14ac:dyDescent="0.3">
      <c r="A161" s="1" t="s">
        <v>546</v>
      </c>
      <c r="B161" s="1" t="s">
        <v>60</v>
      </c>
      <c r="C161">
        <v>52</v>
      </c>
      <c r="D161" s="1" t="s">
        <v>23</v>
      </c>
      <c r="E161" s="1" t="s">
        <v>38</v>
      </c>
      <c r="F161" s="1" t="s">
        <v>109</v>
      </c>
      <c r="G161" s="1" t="s">
        <v>125</v>
      </c>
      <c r="H161" s="1" t="s">
        <v>199</v>
      </c>
      <c r="I161">
        <v>1110</v>
      </c>
      <c r="J161">
        <v>739</v>
      </c>
      <c r="K161">
        <v>6340</v>
      </c>
      <c r="L161">
        <v>11061</v>
      </c>
      <c r="M161">
        <v>19250</v>
      </c>
      <c r="N161" s="2">
        <v>45759</v>
      </c>
      <c r="O161" s="2">
        <v>45888</v>
      </c>
      <c r="P161" s="1" t="s">
        <v>136</v>
      </c>
      <c r="Q161" s="1" t="s">
        <v>16</v>
      </c>
      <c r="R161" s="1" t="s">
        <v>87</v>
      </c>
      <c r="S161">
        <v>319</v>
      </c>
      <c r="T161" s="1" t="s">
        <v>547</v>
      </c>
    </row>
    <row r="162" spans="1:20" x14ac:dyDescent="0.3">
      <c r="A162" s="1" t="s">
        <v>548</v>
      </c>
      <c r="B162" s="1" t="s">
        <v>549</v>
      </c>
      <c r="C162">
        <v>74</v>
      </c>
      <c r="D162" s="1" t="s">
        <v>23</v>
      </c>
      <c r="E162" s="1" t="s">
        <v>20</v>
      </c>
      <c r="F162" s="1" t="s">
        <v>109</v>
      </c>
      <c r="G162" s="1" t="s">
        <v>98</v>
      </c>
      <c r="H162" s="1" t="s">
        <v>99</v>
      </c>
      <c r="I162">
        <v>967</v>
      </c>
      <c r="J162">
        <v>2114</v>
      </c>
      <c r="K162">
        <v>4048</v>
      </c>
      <c r="L162">
        <v>2867</v>
      </c>
      <c r="M162">
        <v>9996</v>
      </c>
      <c r="N162" s="2">
        <v>45792</v>
      </c>
      <c r="O162" s="2">
        <v>46001</v>
      </c>
      <c r="P162" s="1" t="s">
        <v>116</v>
      </c>
      <c r="Q162" s="1" t="s">
        <v>9</v>
      </c>
      <c r="R162" s="1" t="s">
        <v>87</v>
      </c>
      <c r="S162">
        <v>501</v>
      </c>
      <c r="T162" s="1" t="s">
        <v>550</v>
      </c>
    </row>
    <row r="163" spans="1:20" x14ac:dyDescent="0.3">
      <c r="A163" s="1" t="s">
        <v>551</v>
      </c>
      <c r="B163" s="1" t="s">
        <v>552</v>
      </c>
      <c r="C163">
        <v>46</v>
      </c>
      <c r="D163" s="1" t="s">
        <v>12</v>
      </c>
      <c r="E163" s="1" t="s">
        <v>15</v>
      </c>
      <c r="F163" s="1" t="s">
        <v>109</v>
      </c>
      <c r="G163" s="1" t="s">
        <v>91</v>
      </c>
      <c r="H163" s="1" t="s">
        <v>26</v>
      </c>
      <c r="I163">
        <v>473</v>
      </c>
      <c r="J163">
        <v>1597</v>
      </c>
      <c r="K163">
        <v>2865</v>
      </c>
      <c r="L163">
        <v>2931</v>
      </c>
      <c r="M163">
        <v>7866</v>
      </c>
      <c r="N163" s="2">
        <v>45780</v>
      </c>
      <c r="O163" s="2">
        <v>45814</v>
      </c>
      <c r="P163" s="1" t="s">
        <v>35</v>
      </c>
      <c r="Q163" s="1" t="s">
        <v>31</v>
      </c>
      <c r="R163" s="1" t="s">
        <v>87</v>
      </c>
      <c r="S163">
        <v>497</v>
      </c>
      <c r="T163" s="1" t="s">
        <v>553</v>
      </c>
    </row>
    <row r="164" spans="1:20" x14ac:dyDescent="0.3">
      <c r="A164" s="1" t="s">
        <v>554</v>
      </c>
      <c r="B164" s="1" t="s">
        <v>555</v>
      </c>
      <c r="C164">
        <v>74</v>
      </c>
      <c r="D164" s="1" t="s">
        <v>12</v>
      </c>
      <c r="E164" s="1" t="s">
        <v>27</v>
      </c>
      <c r="F164" s="1" t="s">
        <v>120</v>
      </c>
      <c r="G164" s="1" t="s">
        <v>91</v>
      </c>
      <c r="H164" s="1" t="s">
        <v>145</v>
      </c>
      <c r="I164">
        <v>1296</v>
      </c>
      <c r="J164">
        <v>4902</v>
      </c>
      <c r="K164">
        <v>5980</v>
      </c>
      <c r="L164">
        <v>11571</v>
      </c>
      <c r="M164">
        <v>23749</v>
      </c>
      <c r="N164" s="2">
        <v>45746</v>
      </c>
      <c r="O164" s="2">
        <v>45942</v>
      </c>
      <c r="P164" s="1" t="s">
        <v>25</v>
      </c>
      <c r="Q164" s="1" t="s">
        <v>31</v>
      </c>
      <c r="R164" s="1" t="s">
        <v>22</v>
      </c>
      <c r="S164">
        <v>422</v>
      </c>
      <c r="T164" s="1" t="s">
        <v>556</v>
      </c>
    </row>
    <row r="165" spans="1:20" x14ac:dyDescent="0.3">
      <c r="A165" s="1" t="s">
        <v>557</v>
      </c>
      <c r="B165" s="1" t="s">
        <v>558</v>
      </c>
      <c r="C165">
        <v>7</v>
      </c>
      <c r="D165" s="1" t="s">
        <v>12</v>
      </c>
      <c r="E165" s="1" t="s">
        <v>38</v>
      </c>
      <c r="F165" s="1" t="s">
        <v>103</v>
      </c>
      <c r="G165" s="1" t="s">
        <v>104</v>
      </c>
      <c r="H165" s="1" t="s">
        <v>215</v>
      </c>
      <c r="I165">
        <v>579</v>
      </c>
      <c r="J165">
        <v>2098</v>
      </c>
      <c r="K165">
        <v>6978</v>
      </c>
      <c r="L165">
        <v>7290</v>
      </c>
      <c r="M165">
        <v>16945</v>
      </c>
      <c r="N165" s="2">
        <v>45945</v>
      </c>
      <c r="O165" s="2">
        <v>45916</v>
      </c>
      <c r="P165" s="1" t="s">
        <v>116</v>
      </c>
      <c r="Q165" s="1" t="s">
        <v>9</v>
      </c>
      <c r="R165" s="1" t="s">
        <v>17</v>
      </c>
      <c r="S165">
        <v>827</v>
      </c>
      <c r="T165" s="1" t="s">
        <v>559</v>
      </c>
    </row>
    <row r="166" spans="1:20" x14ac:dyDescent="0.3">
      <c r="A166" s="1" t="s">
        <v>560</v>
      </c>
      <c r="B166" s="1" t="s">
        <v>383</v>
      </c>
      <c r="C166">
        <v>22</v>
      </c>
      <c r="D166" s="1" t="s">
        <v>23</v>
      </c>
      <c r="E166" s="1" t="s">
        <v>27</v>
      </c>
      <c r="F166" s="1" t="s">
        <v>103</v>
      </c>
      <c r="G166" s="1" t="s">
        <v>98</v>
      </c>
      <c r="H166" s="1" t="s">
        <v>105</v>
      </c>
      <c r="I166">
        <v>898</v>
      </c>
      <c r="J166">
        <v>767</v>
      </c>
      <c r="K166">
        <v>2551</v>
      </c>
      <c r="L166">
        <v>4683</v>
      </c>
      <c r="M166">
        <v>8899</v>
      </c>
      <c r="N166" s="2">
        <v>45933</v>
      </c>
      <c r="O166" s="2">
        <v>45805</v>
      </c>
      <c r="P166" s="1" t="s">
        <v>25</v>
      </c>
      <c r="Q166" s="1" t="s">
        <v>9</v>
      </c>
      <c r="R166" s="1" t="s">
        <v>87</v>
      </c>
      <c r="S166">
        <v>623</v>
      </c>
      <c r="T166" s="1" t="s">
        <v>561</v>
      </c>
    </row>
    <row r="167" spans="1:20" x14ac:dyDescent="0.3">
      <c r="A167" s="1" t="s">
        <v>562</v>
      </c>
      <c r="B167" s="1" t="s">
        <v>563</v>
      </c>
      <c r="C167">
        <v>35</v>
      </c>
      <c r="D167" s="1" t="s">
        <v>12</v>
      </c>
      <c r="E167" s="1" t="s">
        <v>33</v>
      </c>
      <c r="F167" s="1" t="s">
        <v>103</v>
      </c>
      <c r="G167" s="1" t="s">
        <v>125</v>
      </c>
      <c r="H167" s="1" t="s">
        <v>92</v>
      </c>
      <c r="I167">
        <v>1418</v>
      </c>
      <c r="J167">
        <v>2290</v>
      </c>
      <c r="K167">
        <v>3782</v>
      </c>
      <c r="L167">
        <v>2677</v>
      </c>
      <c r="M167">
        <v>10167</v>
      </c>
      <c r="N167" s="2">
        <v>45992</v>
      </c>
      <c r="O167" s="2">
        <v>45784</v>
      </c>
      <c r="P167" s="1" t="s">
        <v>14</v>
      </c>
      <c r="Q167" s="1" t="s">
        <v>21</v>
      </c>
      <c r="R167" s="1" t="s">
        <v>17</v>
      </c>
      <c r="S167">
        <v>982</v>
      </c>
      <c r="T167" s="1" t="s">
        <v>564</v>
      </c>
    </row>
    <row r="168" spans="1:20" x14ac:dyDescent="0.3">
      <c r="A168" s="1" t="s">
        <v>565</v>
      </c>
      <c r="B168" s="1" t="s">
        <v>407</v>
      </c>
      <c r="C168">
        <v>16</v>
      </c>
      <c r="D168" s="1" t="s">
        <v>23</v>
      </c>
      <c r="E168" s="1" t="s">
        <v>20</v>
      </c>
      <c r="F168" s="1" t="s">
        <v>84</v>
      </c>
      <c r="G168" s="1" t="s">
        <v>98</v>
      </c>
      <c r="H168" s="1" t="s">
        <v>99</v>
      </c>
      <c r="I168">
        <v>1176</v>
      </c>
      <c r="J168">
        <v>1859</v>
      </c>
      <c r="K168">
        <v>5347</v>
      </c>
      <c r="L168">
        <v>3281</v>
      </c>
      <c r="M168">
        <v>11663</v>
      </c>
      <c r="N168" s="2">
        <v>45763</v>
      </c>
      <c r="O168" s="2">
        <v>45763</v>
      </c>
      <c r="P168" s="1" t="s">
        <v>34</v>
      </c>
      <c r="Q168" s="1" t="s">
        <v>21</v>
      </c>
      <c r="R168" s="1" t="s">
        <v>87</v>
      </c>
      <c r="S168">
        <v>651</v>
      </c>
      <c r="T168" s="1" t="s">
        <v>566</v>
      </c>
    </row>
    <row r="169" spans="1:20" x14ac:dyDescent="0.3">
      <c r="A169" s="1" t="s">
        <v>567</v>
      </c>
      <c r="B169" s="1" t="s">
        <v>63</v>
      </c>
      <c r="C169">
        <v>38</v>
      </c>
      <c r="D169" s="1" t="s">
        <v>12</v>
      </c>
      <c r="E169" s="1" t="s">
        <v>40</v>
      </c>
      <c r="F169" s="1" t="s">
        <v>114</v>
      </c>
      <c r="G169" s="1" t="s">
        <v>85</v>
      </c>
      <c r="H169" s="1" t="s">
        <v>86</v>
      </c>
      <c r="I169">
        <v>1142</v>
      </c>
      <c r="J169">
        <v>985</v>
      </c>
      <c r="K169">
        <v>2571</v>
      </c>
      <c r="L169">
        <v>11746</v>
      </c>
      <c r="M169">
        <v>16444</v>
      </c>
      <c r="N169" s="2">
        <v>45722</v>
      </c>
      <c r="O169" s="2">
        <v>46017</v>
      </c>
      <c r="P169" s="1" t="s">
        <v>25</v>
      </c>
      <c r="Q169" s="1" t="s">
        <v>21</v>
      </c>
      <c r="R169" s="1" t="s">
        <v>22</v>
      </c>
      <c r="S169">
        <v>879</v>
      </c>
      <c r="T169" s="1" t="s">
        <v>568</v>
      </c>
    </row>
    <row r="170" spans="1:20" x14ac:dyDescent="0.3">
      <c r="A170" s="1" t="s">
        <v>569</v>
      </c>
      <c r="B170" s="1" t="s">
        <v>195</v>
      </c>
      <c r="C170">
        <v>19</v>
      </c>
      <c r="D170" s="1" t="s">
        <v>12</v>
      </c>
      <c r="E170" s="1" t="s">
        <v>36</v>
      </c>
      <c r="F170" s="1" t="s">
        <v>120</v>
      </c>
      <c r="G170" s="1" t="s">
        <v>104</v>
      </c>
      <c r="H170" s="1" t="s">
        <v>155</v>
      </c>
      <c r="I170">
        <v>1225</v>
      </c>
      <c r="J170">
        <v>1118</v>
      </c>
      <c r="K170">
        <v>5490</v>
      </c>
      <c r="L170">
        <v>14018</v>
      </c>
      <c r="M170">
        <v>21851</v>
      </c>
      <c r="N170" s="2">
        <v>45705</v>
      </c>
      <c r="O170" s="2">
        <v>45864</v>
      </c>
      <c r="P170" s="1" t="s">
        <v>110</v>
      </c>
      <c r="Q170" s="1" t="s">
        <v>21</v>
      </c>
      <c r="R170" s="1" t="s">
        <v>17</v>
      </c>
      <c r="S170">
        <v>599</v>
      </c>
      <c r="T170" s="1" t="s">
        <v>570</v>
      </c>
    </row>
    <row r="171" spans="1:20" x14ac:dyDescent="0.3">
      <c r="A171" s="1" t="s">
        <v>571</v>
      </c>
      <c r="B171" s="1" t="s">
        <v>572</v>
      </c>
      <c r="C171">
        <v>12</v>
      </c>
      <c r="D171" s="1" t="s">
        <v>12</v>
      </c>
      <c r="E171" s="1" t="s">
        <v>20</v>
      </c>
      <c r="F171" s="1" t="s">
        <v>97</v>
      </c>
      <c r="G171" s="1" t="s">
        <v>176</v>
      </c>
      <c r="H171" s="1" t="s">
        <v>37</v>
      </c>
      <c r="I171">
        <v>1394</v>
      </c>
      <c r="J171">
        <v>3758</v>
      </c>
      <c r="K171">
        <v>2084</v>
      </c>
      <c r="L171">
        <v>8039</v>
      </c>
      <c r="M171">
        <v>15275</v>
      </c>
      <c r="N171" s="2">
        <v>45766</v>
      </c>
      <c r="O171" s="2">
        <v>45911</v>
      </c>
      <c r="P171" s="1" t="s">
        <v>14</v>
      </c>
      <c r="Q171" s="1" t="s">
        <v>21</v>
      </c>
      <c r="R171" s="1" t="s">
        <v>17</v>
      </c>
      <c r="S171">
        <v>660</v>
      </c>
      <c r="T171" s="1" t="s">
        <v>573</v>
      </c>
    </row>
    <row r="172" spans="1:20" x14ac:dyDescent="0.3">
      <c r="A172" s="1" t="s">
        <v>574</v>
      </c>
      <c r="B172" s="1" t="s">
        <v>575</v>
      </c>
      <c r="C172">
        <v>63</v>
      </c>
      <c r="D172" s="1" t="s">
        <v>12</v>
      </c>
      <c r="E172" s="1" t="s">
        <v>33</v>
      </c>
      <c r="F172" s="1" t="s">
        <v>103</v>
      </c>
      <c r="G172" s="1" t="s">
        <v>125</v>
      </c>
      <c r="H172" s="1" t="s">
        <v>29</v>
      </c>
      <c r="I172">
        <v>503</v>
      </c>
      <c r="J172">
        <v>4264</v>
      </c>
      <c r="K172">
        <v>433</v>
      </c>
      <c r="L172">
        <v>3035</v>
      </c>
      <c r="M172">
        <v>8235</v>
      </c>
      <c r="N172" s="2">
        <v>45738</v>
      </c>
      <c r="O172" s="2">
        <v>45883</v>
      </c>
      <c r="P172" s="1" t="s">
        <v>116</v>
      </c>
      <c r="Q172" s="1" t="s">
        <v>31</v>
      </c>
      <c r="R172" s="1" t="s">
        <v>87</v>
      </c>
      <c r="S172">
        <v>235</v>
      </c>
      <c r="T172" s="1" t="s">
        <v>576</v>
      </c>
    </row>
    <row r="173" spans="1:20" x14ac:dyDescent="0.3">
      <c r="A173" s="1" t="s">
        <v>577</v>
      </c>
      <c r="B173" s="1" t="s">
        <v>578</v>
      </c>
      <c r="C173">
        <v>36</v>
      </c>
      <c r="D173" s="1" t="s">
        <v>23</v>
      </c>
      <c r="E173" s="1" t="s">
        <v>36</v>
      </c>
      <c r="F173" s="1" t="s">
        <v>97</v>
      </c>
      <c r="G173" s="1" t="s">
        <v>104</v>
      </c>
      <c r="H173" s="1" t="s">
        <v>165</v>
      </c>
      <c r="I173">
        <v>468</v>
      </c>
      <c r="J173">
        <v>3546</v>
      </c>
      <c r="K173">
        <v>5743</v>
      </c>
      <c r="L173">
        <v>11631</v>
      </c>
      <c r="M173">
        <v>21388</v>
      </c>
      <c r="N173" s="2">
        <v>45742</v>
      </c>
      <c r="O173" s="2">
        <v>45684</v>
      </c>
      <c r="P173" s="1" t="s">
        <v>93</v>
      </c>
      <c r="Q173" s="1" t="s">
        <v>31</v>
      </c>
      <c r="R173" s="1" t="s">
        <v>17</v>
      </c>
      <c r="S173">
        <v>771</v>
      </c>
      <c r="T173" s="1" t="s">
        <v>579</v>
      </c>
    </row>
    <row r="174" spans="1:20" x14ac:dyDescent="0.3">
      <c r="A174" s="1" t="s">
        <v>580</v>
      </c>
      <c r="B174" s="1" t="s">
        <v>83</v>
      </c>
      <c r="C174">
        <v>28</v>
      </c>
      <c r="D174" s="1" t="s">
        <v>12</v>
      </c>
      <c r="E174" s="1" t="s">
        <v>24</v>
      </c>
      <c r="F174" s="1" t="s">
        <v>114</v>
      </c>
      <c r="G174" s="1" t="s">
        <v>176</v>
      </c>
      <c r="H174" s="1" t="s">
        <v>86</v>
      </c>
      <c r="I174">
        <v>763</v>
      </c>
      <c r="J174">
        <v>4755</v>
      </c>
      <c r="K174">
        <v>5870</v>
      </c>
      <c r="L174">
        <v>8291</v>
      </c>
      <c r="M174">
        <v>19679</v>
      </c>
      <c r="N174" s="2">
        <v>45662</v>
      </c>
      <c r="O174" s="2">
        <v>45662</v>
      </c>
      <c r="P174" s="1" t="s">
        <v>177</v>
      </c>
      <c r="Q174" s="1" t="s">
        <v>9</v>
      </c>
      <c r="R174" s="1" t="s">
        <v>87</v>
      </c>
      <c r="S174">
        <v>235</v>
      </c>
      <c r="T174" s="1" t="s">
        <v>581</v>
      </c>
    </row>
    <row r="175" spans="1:20" x14ac:dyDescent="0.3">
      <c r="A175" s="1" t="s">
        <v>582</v>
      </c>
      <c r="B175" s="1" t="s">
        <v>583</v>
      </c>
      <c r="C175">
        <v>50</v>
      </c>
      <c r="D175" s="1" t="s">
        <v>23</v>
      </c>
      <c r="E175" s="1" t="s">
        <v>15</v>
      </c>
      <c r="F175" s="1" t="s">
        <v>114</v>
      </c>
      <c r="G175" s="1" t="s">
        <v>158</v>
      </c>
      <c r="H175" s="1" t="s">
        <v>13</v>
      </c>
      <c r="I175">
        <v>941</v>
      </c>
      <c r="J175">
        <v>3511</v>
      </c>
      <c r="K175">
        <v>7517</v>
      </c>
      <c r="L175">
        <v>5902</v>
      </c>
      <c r="M175">
        <v>17871</v>
      </c>
      <c r="N175" s="2">
        <v>45728</v>
      </c>
      <c r="O175" s="2">
        <v>45853</v>
      </c>
      <c r="P175" s="1" t="s">
        <v>25</v>
      </c>
      <c r="Q175" s="1" t="s">
        <v>16</v>
      </c>
      <c r="R175" s="1" t="s">
        <v>87</v>
      </c>
      <c r="S175">
        <v>765</v>
      </c>
      <c r="T175" s="1" t="s">
        <v>584</v>
      </c>
    </row>
    <row r="176" spans="1:20" x14ac:dyDescent="0.3">
      <c r="A176" s="1" t="s">
        <v>585</v>
      </c>
      <c r="B176" s="1" t="s">
        <v>586</v>
      </c>
      <c r="C176">
        <v>28</v>
      </c>
      <c r="D176" s="1" t="s">
        <v>23</v>
      </c>
      <c r="E176" s="1" t="s">
        <v>38</v>
      </c>
      <c r="F176" s="1" t="s">
        <v>120</v>
      </c>
      <c r="G176" s="1" t="s">
        <v>91</v>
      </c>
      <c r="H176" s="1" t="s">
        <v>92</v>
      </c>
      <c r="I176">
        <v>744</v>
      </c>
      <c r="J176">
        <v>1210</v>
      </c>
      <c r="K176">
        <v>7644</v>
      </c>
      <c r="L176">
        <v>2646</v>
      </c>
      <c r="M176">
        <v>12244</v>
      </c>
      <c r="N176" s="2">
        <v>45729</v>
      </c>
      <c r="O176" s="2">
        <v>45721</v>
      </c>
      <c r="P176" s="1" t="s">
        <v>136</v>
      </c>
      <c r="Q176" s="1" t="s">
        <v>9</v>
      </c>
      <c r="R176" s="1" t="s">
        <v>17</v>
      </c>
      <c r="S176">
        <v>910</v>
      </c>
      <c r="T176" s="1" t="s">
        <v>587</v>
      </c>
    </row>
    <row r="177" spans="1:20" x14ac:dyDescent="0.3">
      <c r="A177" s="1" t="s">
        <v>588</v>
      </c>
      <c r="B177" s="1" t="s">
        <v>202</v>
      </c>
      <c r="C177">
        <v>83</v>
      </c>
      <c r="D177" s="1" t="s">
        <v>23</v>
      </c>
      <c r="E177" s="1" t="s">
        <v>38</v>
      </c>
      <c r="F177" s="1" t="s">
        <v>84</v>
      </c>
      <c r="G177" s="1" t="s">
        <v>91</v>
      </c>
      <c r="H177" s="1" t="s">
        <v>26</v>
      </c>
      <c r="I177">
        <v>354</v>
      </c>
      <c r="J177">
        <v>2971</v>
      </c>
      <c r="K177">
        <v>1983</v>
      </c>
      <c r="L177">
        <v>9482</v>
      </c>
      <c r="M177">
        <v>14790</v>
      </c>
      <c r="N177" s="2">
        <v>45968</v>
      </c>
      <c r="O177" s="2">
        <v>45918</v>
      </c>
      <c r="P177" s="1" t="s">
        <v>19</v>
      </c>
      <c r="Q177" s="1" t="s">
        <v>16</v>
      </c>
      <c r="R177" s="1" t="s">
        <v>22</v>
      </c>
      <c r="S177">
        <v>606</v>
      </c>
      <c r="T177" s="1" t="s">
        <v>589</v>
      </c>
    </row>
    <row r="178" spans="1:20" x14ac:dyDescent="0.3">
      <c r="A178" s="1" t="s">
        <v>590</v>
      </c>
      <c r="B178" s="1" t="s">
        <v>591</v>
      </c>
      <c r="C178">
        <v>64</v>
      </c>
      <c r="D178" s="1" t="s">
        <v>23</v>
      </c>
      <c r="E178" s="1" t="s">
        <v>15</v>
      </c>
      <c r="F178" s="1" t="s">
        <v>103</v>
      </c>
      <c r="G178" s="1" t="s">
        <v>176</v>
      </c>
      <c r="H178" s="1" t="s">
        <v>99</v>
      </c>
      <c r="I178">
        <v>948</v>
      </c>
      <c r="J178">
        <v>1581</v>
      </c>
      <c r="K178">
        <v>3468</v>
      </c>
      <c r="L178">
        <v>14745</v>
      </c>
      <c r="M178">
        <v>20742</v>
      </c>
      <c r="N178" s="2">
        <v>45949</v>
      </c>
      <c r="O178" s="2">
        <v>45873</v>
      </c>
      <c r="P178" s="1" t="s">
        <v>177</v>
      </c>
      <c r="Q178" s="1" t="s">
        <v>9</v>
      </c>
      <c r="R178" s="1" t="s">
        <v>22</v>
      </c>
      <c r="S178">
        <v>117</v>
      </c>
      <c r="T178" s="1" t="s">
        <v>592</v>
      </c>
    </row>
    <row r="179" spans="1:20" x14ac:dyDescent="0.3">
      <c r="A179" s="1" t="s">
        <v>593</v>
      </c>
      <c r="B179" s="1" t="s">
        <v>594</v>
      </c>
      <c r="C179">
        <v>34</v>
      </c>
      <c r="D179" s="1" t="s">
        <v>23</v>
      </c>
      <c r="E179" s="1" t="s">
        <v>38</v>
      </c>
      <c r="F179" s="1" t="s">
        <v>103</v>
      </c>
      <c r="G179" s="1" t="s">
        <v>104</v>
      </c>
      <c r="H179" s="1" t="s">
        <v>29</v>
      </c>
      <c r="I179">
        <v>1115</v>
      </c>
      <c r="J179">
        <v>4650</v>
      </c>
      <c r="K179">
        <v>2646</v>
      </c>
      <c r="L179">
        <v>11298</v>
      </c>
      <c r="M179">
        <v>19709</v>
      </c>
      <c r="N179" s="2">
        <v>46022</v>
      </c>
      <c r="O179" s="2">
        <v>45914</v>
      </c>
      <c r="P179" s="1" t="s">
        <v>93</v>
      </c>
      <c r="Q179" s="1" t="s">
        <v>9</v>
      </c>
      <c r="R179" s="1" t="s">
        <v>22</v>
      </c>
      <c r="S179">
        <v>755</v>
      </c>
      <c r="T179" s="1" t="s">
        <v>595</v>
      </c>
    </row>
    <row r="180" spans="1:20" x14ac:dyDescent="0.3">
      <c r="A180" s="1" t="s">
        <v>596</v>
      </c>
      <c r="B180" s="1" t="s">
        <v>537</v>
      </c>
      <c r="C180">
        <v>20</v>
      </c>
      <c r="D180" s="1" t="s">
        <v>12</v>
      </c>
      <c r="E180" s="1" t="s">
        <v>38</v>
      </c>
      <c r="F180" s="1" t="s">
        <v>114</v>
      </c>
      <c r="G180" s="1" t="s">
        <v>98</v>
      </c>
      <c r="H180" s="1" t="s">
        <v>26</v>
      </c>
      <c r="I180">
        <v>461</v>
      </c>
      <c r="J180">
        <v>4688</v>
      </c>
      <c r="K180">
        <v>7844</v>
      </c>
      <c r="L180">
        <v>4329</v>
      </c>
      <c r="M180">
        <v>17322</v>
      </c>
      <c r="N180" s="2">
        <v>45737</v>
      </c>
      <c r="O180" s="2">
        <v>45932</v>
      </c>
      <c r="P180" s="1" t="s">
        <v>177</v>
      </c>
      <c r="Q180" s="1" t="s">
        <v>16</v>
      </c>
      <c r="R180" s="1" t="s">
        <v>17</v>
      </c>
      <c r="S180">
        <v>815</v>
      </c>
      <c r="T180" s="1" t="s">
        <v>597</v>
      </c>
    </row>
    <row r="181" spans="1:20" x14ac:dyDescent="0.3">
      <c r="A181" s="1" t="s">
        <v>598</v>
      </c>
      <c r="B181" s="1" t="s">
        <v>599</v>
      </c>
      <c r="C181">
        <v>32</v>
      </c>
      <c r="D181" s="1" t="s">
        <v>23</v>
      </c>
      <c r="E181" s="1" t="s">
        <v>33</v>
      </c>
      <c r="F181" s="1" t="s">
        <v>120</v>
      </c>
      <c r="G181" s="1" t="s">
        <v>104</v>
      </c>
      <c r="H181" s="1" t="s">
        <v>13</v>
      </c>
      <c r="I181">
        <v>1228</v>
      </c>
      <c r="J181">
        <v>950</v>
      </c>
      <c r="K181">
        <v>2833</v>
      </c>
      <c r="L181">
        <v>11913</v>
      </c>
      <c r="M181">
        <v>16924</v>
      </c>
      <c r="N181" s="2">
        <v>45994</v>
      </c>
      <c r="O181" s="2">
        <v>45747</v>
      </c>
      <c r="P181" s="1" t="s">
        <v>35</v>
      </c>
      <c r="Q181" s="1" t="s">
        <v>31</v>
      </c>
      <c r="R181" s="1" t="s">
        <v>87</v>
      </c>
      <c r="S181">
        <v>111</v>
      </c>
      <c r="T181" s="1" t="s">
        <v>600</v>
      </c>
    </row>
    <row r="182" spans="1:20" x14ac:dyDescent="0.3">
      <c r="A182" s="1" t="s">
        <v>601</v>
      </c>
      <c r="B182" s="1" t="s">
        <v>602</v>
      </c>
      <c r="C182">
        <v>67</v>
      </c>
      <c r="D182" s="1" t="s">
        <v>12</v>
      </c>
      <c r="E182" s="1" t="s">
        <v>36</v>
      </c>
      <c r="F182" s="1" t="s">
        <v>109</v>
      </c>
      <c r="G182" s="1" t="s">
        <v>98</v>
      </c>
      <c r="H182" s="1" t="s">
        <v>99</v>
      </c>
      <c r="I182">
        <v>559</v>
      </c>
      <c r="J182">
        <v>2701</v>
      </c>
      <c r="K182">
        <v>6304</v>
      </c>
      <c r="L182">
        <v>2934</v>
      </c>
      <c r="M182">
        <v>12498</v>
      </c>
      <c r="N182" s="2">
        <v>45673</v>
      </c>
      <c r="O182" s="2">
        <v>45829</v>
      </c>
      <c r="P182" s="1" t="s">
        <v>93</v>
      </c>
      <c r="Q182" s="1" t="s">
        <v>16</v>
      </c>
      <c r="R182" s="1" t="s">
        <v>17</v>
      </c>
      <c r="S182">
        <v>829</v>
      </c>
      <c r="T182" s="1" t="s">
        <v>603</v>
      </c>
    </row>
    <row r="183" spans="1:20" x14ac:dyDescent="0.3">
      <c r="A183" s="1" t="s">
        <v>604</v>
      </c>
      <c r="B183" s="1" t="s">
        <v>605</v>
      </c>
      <c r="C183">
        <v>59</v>
      </c>
      <c r="D183" s="1" t="s">
        <v>12</v>
      </c>
      <c r="E183" s="1" t="s">
        <v>24</v>
      </c>
      <c r="F183" s="1" t="s">
        <v>103</v>
      </c>
      <c r="G183" s="1" t="s">
        <v>85</v>
      </c>
      <c r="H183" s="1" t="s">
        <v>215</v>
      </c>
      <c r="I183">
        <v>1460</v>
      </c>
      <c r="J183">
        <v>1867</v>
      </c>
      <c r="K183">
        <v>3312</v>
      </c>
      <c r="L183">
        <v>3577</v>
      </c>
      <c r="M183">
        <v>10216</v>
      </c>
      <c r="N183" s="2">
        <v>45788</v>
      </c>
      <c r="O183" s="2">
        <v>45710</v>
      </c>
      <c r="P183" s="1" t="s">
        <v>136</v>
      </c>
      <c r="Q183" s="1" t="s">
        <v>16</v>
      </c>
      <c r="R183" s="1" t="s">
        <v>22</v>
      </c>
      <c r="S183">
        <v>979</v>
      </c>
      <c r="T183" s="1" t="s">
        <v>606</v>
      </c>
    </row>
    <row r="184" spans="1:20" x14ac:dyDescent="0.3">
      <c r="A184" s="1" t="s">
        <v>607</v>
      </c>
      <c r="B184" s="1" t="s">
        <v>481</v>
      </c>
      <c r="C184">
        <v>6</v>
      </c>
      <c r="D184" s="1" t="s">
        <v>12</v>
      </c>
      <c r="E184" s="1" t="s">
        <v>40</v>
      </c>
      <c r="F184" s="1" t="s">
        <v>97</v>
      </c>
      <c r="G184" s="1" t="s">
        <v>91</v>
      </c>
      <c r="H184" s="1" t="s">
        <v>155</v>
      </c>
      <c r="I184">
        <v>607</v>
      </c>
      <c r="J184">
        <v>1966</v>
      </c>
      <c r="K184">
        <v>7928</v>
      </c>
      <c r="L184">
        <v>1579</v>
      </c>
      <c r="M184">
        <v>12080</v>
      </c>
      <c r="N184" s="2">
        <v>45941</v>
      </c>
      <c r="O184" s="2">
        <v>45993</v>
      </c>
      <c r="P184" s="1" t="s">
        <v>93</v>
      </c>
      <c r="Q184" s="1" t="s">
        <v>31</v>
      </c>
      <c r="R184" s="1" t="s">
        <v>17</v>
      </c>
      <c r="S184">
        <v>837</v>
      </c>
      <c r="T184" s="1" t="s">
        <v>608</v>
      </c>
    </row>
    <row r="185" spans="1:20" x14ac:dyDescent="0.3">
      <c r="A185" s="1" t="s">
        <v>609</v>
      </c>
      <c r="B185" s="1" t="s">
        <v>549</v>
      </c>
      <c r="C185">
        <v>74</v>
      </c>
      <c r="D185" s="1" t="s">
        <v>12</v>
      </c>
      <c r="E185" s="1" t="s">
        <v>27</v>
      </c>
      <c r="F185" s="1" t="s">
        <v>114</v>
      </c>
      <c r="G185" s="1" t="s">
        <v>176</v>
      </c>
      <c r="H185" s="1" t="s">
        <v>29</v>
      </c>
      <c r="I185">
        <v>667</v>
      </c>
      <c r="J185">
        <v>2328</v>
      </c>
      <c r="K185">
        <v>6889</v>
      </c>
      <c r="L185">
        <v>9450</v>
      </c>
      <c r="M185">
        <v>19334</v>
      </c>
      <c r="N185" s="2">
        <v>45681</v>
      </c>
      <c r="O185" s="2">
        <v>45863</v>
      </c>
      <c r="P185" s="1" t="s">
        <v>35</v>
      </c>
      <c r="Q185" s="1" t="s">
        <v>21</v>
      </c>
      <c r="R185" s="1" t="s">
        <v>17</v>
      </c>
      <c r="S185">
        <v>435</v>
      </c>
      <c r="T185" s="1" t="s">
        <v>610</v>
      </c>
    </row>
    <row r="186" spans="1:20" x14ac:dyDescent="0.3">
      <c r="A186" s="1" t="s">
        <v>611</v>
      </c>
      <c r="B186" s="1" t="s">
        <v>612</v>
      </c>
      <c r="C186">
        <v>2</v>
      </c>
      <c r="D186" s="1" t="s">
        <v>12</v>
      </c>
      <c r="E186" s="1" t="s">
        <v>27</v>
      </c>
      <c r="F186" s="1" t="s">
        <v>84</v>
      </c>
      <c r="G186" s="1" t="s">
        <v>176</v>
      </c>
      <c r="H186" s="1" t="s">
        <v>26</v>
      </c>
      <c r="I186">
        <v>1454</v>
      </c>
      <c r="J186">
        <v>2989</v>
      </c>
      <c r="K186">
        <v>6358</v>
      </c>
      <c r="L186">
        <v>11202</v>
      </c>
      <c r="M186">
        <v>22003</v>
      </c>
      <c r="N186" s="2">
        <v>45782</v>
      </c>
      <c r="O186" s="2">
        <v>45895</v>
      </c>
      <c r="P186" s="1" t="s">
        <v>177</v>
      </c>
      <c r="Q186" s="1" t="s">
        <v>31</v>
      </c>
      <c r="R186" s="1" t="s">
        <v>87</v>
      </c>
      <c r="S186">
        <v>659</v>
      </c>
      <c r="T186" s="1" t="s">
        <v>613</v>
      </c>
    </row>
    <row r="187" spans="1:20" x14ac:dyDescent="0.3">
      <c r="A187" s="1" t="s">
        <v>614</v>
      </c>
      <c r="B187" s="1" t="s">
        <v>615</v>
      </c>
      <c r="C187">
        <v>1</v>
      </c>
      <c r="D187" s="1" t="s">
        <v>12</v>
      </c>
      <c r="E187" s="1" t="s">
        <v>33</v>
      </c>
      <c r="F187" s="1" t="s">
        <v>103</v>
      </c>
      <c r="G187" s="1" t="s">
        <v>176</v>
      </c>
      <c r="H187" s="1" t="s">
        <v>105</v>
      </c>
      <c r="I187">
        <v>1409</v>
      </c>
      <c r="J187">
        <v>3337</v>
      </c>
      <c r="K187">
        <v>5509</v>
      </c>
      <c r="L187">
        <v>14755</v>
      </c>
      <c r="M187">
        <v>25010</v>
      </c>
      <c r="N187" s="2">
        <v>46013</v>
      </c>
      <c r="O187" s="2">
        <v>45662</v>
      </c>
      <c r="P187" s="1" t="s">
        <v>177</v>
      </c>
      <c r="Q187" s="1" t="s">
        <v>9</v>
      </c>
      <c r="R187" s="1" t="s">
        <v>87</v>
      </c>
      <c r="S187">
        <v>844</v>
      </c>
      <c r="T187" s="1" t="s">
        <v>616</v>
      </c>
    </row>
    <row r="188" spans="1:20" x14ac:dyDescent="0.3">
      <c r="A188" s="1" t="s">
        <v>617</v>
      </c>
      <c r="B188" s="1" t="s">
        <v>618</v>
      </c>
      <c r="C188">
        <v>68</v>
      </c>
      <c r="D188" s="1" t="s">
        <v>23</v>
      </c>
      <c r="E188" s="1" t="s">
        <v>38</v>
      </c>
      <c r="F188" s="1" t="s">
        <v>120</v>
      </c>
      <c r="G188" s="1" t="s">
        <v>104</v>
      </c>
      <c r="H188" s="1" t="s">
        <v>215</v>
      </c>
      <c r="I188">
        <v>422</v>
      </c>
      <c r="J188">
        <v>1666</v>
      </c>
      <c r="K188">
        <v>6129</v>
      </c>
      <c r="L188">
        <v>5584</v>
      </c>
      <c r="M188">
        <v>13801</v>
      </c>
      <c r="N188" s="2">
        <v>45705</v>
      </c>
      <c r="O188" s="2">
        <v>45680</v>
      </c>
      <c r="P188" s="1" t="s">
        <v>19</v>
      </c>
      <c r="Q188" s="1" t="s">
        <v>21</v>
      </c>
      <c r="R188" s="1" t="s">
        <v>17</v>
      </c>
      <c r="S188">
        <v>865</v>
      </c>
      <c r="T188" s="1" t="s">
        <v>619</v>
      </c>
    </row>
    <row r="189" spans="1:20" x14ac:dyDescent="0.3">
      <c r="A189" s="1" t="s">
        <v>620</v>
      </c>
      <c r="B189" s="1" t="s">
        <v>563</v>
      </c>
      <c r="C189">
        <v>65</v>
      </c>
      <c r="D189" s="1" t="s">
        <v>23</v>
      </c>
      <c r="E189" s="1" t="s">
        <v>36</v>
      </c>
      <c r="F189" s="1" t="s">
        <v>120</v>
      </c>
      <c r="G189" s="1" t="s">
        <v>176</v>
      </c>
      <c r="H189" s="1" t="s">
        <v>37</v>
      </c>
      <c r="I189">
        <v>1462</v>
      </c>
      <c r="J189">
        <v>1010</v>
      </c>
      <c r="K189">
        <v>3863</v>
      </c>
      <c r="L189">
        <v>11853</v>
      </c>
      <c r="M189">
        <v>18188</v>
      </c>
      <c r="N189" s="2">
        <v>45724</v>
      </c>
      <c r="O189" s="2">
        <v>45779</v>
      </c>
      <c r="P189" s="1" t="s">
        <v>14</v>
      </c>
      <c r="Q189" s="1" t="s">
        <v>21</v>
      </c>
      <c r="R189" s="1" t="s">
        <v>17</v>
      </c>
      <c r="S189">
        <v>817</v>
      </c>
      <c r="T189" s="1" t="s">
        <v>621</v>
      </c>
    </row>
    <row r="190" spans="1:20" x14ac:dyDescent="0.3">
      <c r="A190" s="1" t="s">
        <v>622</v>
      </c>
      <c r="B190" s="1" t="s">
        <v>418</v>
      </c>
      <c r="C190">
        <v>58</v>
      </c>
      <c r="D190" s="1" t="s">
        <v>12</v>
      </c>
      <c r="E190" s="1" t="s">
        <v>24</v>
      </c>
      <c r="F190" s="1" t="s">
        <v>84</v>
      </c>
      <c r="G190" s="1" t="s">
        <v>85</v>
      </c>
      <c r="H190" s="1" t="s">
        <v>37</v>
      </c>
      <c r="I190">
        <v>715</v>
      </c>
      <c r="J190">
        <v>1615</v>
      </c>
      <c r="K190">
        <v>6689</v>
      </c>
      <c r="L190">
        <v>13618</v>
      </c>
      <c r="M190">
        <v>22637</v>
      </c>
      <c r="N190" s="2">
        <v>45957</v>
      </c>
      <c r="O190" s="2">
        <v>45713</v>
      </c>
      <c r="P190" s="1" t="s">
        <v>25</v>
      </c>
      <c r="Q190" s="1" t="s">
        <v>9</v>
      </c>
      <c r="R190" s="1" t="s">
        <v>17</v>
      </c>
      <c r="S190">
        <v>421</v>
      </c>
      <c r="T190" s="1" t="s">
        <v>623</v>
      </c>
    </row>
    <row r="191" spans="1:20" x14ac:dyDescent="0.3">
      <c r="A191" s="1" t="s">
        <v>624</v>
      </c>
      <c r="B191" s="1" t="s">
        <v>625</v>
      </c>
      <c r="C191">
        <v>46</v>
      </c>
      <c r="D191" s="1" t="s">
        <v>23</v>
      </c>
      <c r="E191" s="1" t="s">
        <v>33</v>
      </c>
      <c r="F191" s="1" t="s">
        <v>135</v>
      </c>
      <c r="G191" s="1" t="s">
        <v>85</v>
      </c>
      <c r="H191" s="1" t="s">
        <v>26</v>
      </c>
      <c r="I191">
        <v>1248</v>
      </c>
      <c r="J191">
        <v>2670</v>
      </c>
      <c r="K191">
        <v>7283</v>
      </c>
      <c r="L191">
        <v>2964</v>
      </c>
      <c r="M191">
        <v>14165</v>
      </c>
      <c r="N191" s="2">
        <v>45704</v>
      </c>
      <c r="O191" s="2">
        <v>45738</v>
      </c>
      <c r="P191" s="1" t="s">
        <v>14</v>
      </c>
      <c r="Q191" s="1" t="s">
        <v>21</v>
      </c>
      <c r="R191" s="1" t="s">
        <v>22</v>
      </c>
      <c r="S191">
        <v>193</v>
      </c>
      <c r="T191" s="1" t="s">
        <v>626</v>
      </c>
    </row>
    <row r="192" spans="1:20" x14ac:dyDescent="0.3">
      <c r="A192" s="1" t="s">
        <v>627</v>
      </c>
      <c r="B192" s="1" t="s">
        <v>302</v>
      </c>
      <c r="C192">
        <v>51</v>
      </c>
      <c r="D192" s="1" t="s">
        <v>23</v>
      </c>
      <c r="E192" s="1" t="s">
        <v>24</v>
      </c>
      <c r="F192" s="1" t="s">
        <v>124</v>
      </c>
      <c r="G192" s="1" t="s">
        <v>125</v>
      </c>
      <c r="H192" s="1" t="s">
        <v>165</v>
      </c>
      <c r="I192">
        <v>656</v>
      </c>
      <c r="J192">
        <v>754</v>
      </c>
      <c r="K192">
        <v>3612</v>
      </c>
      <c r="L192">
        <v>8408</v>
      </c>
      <c r="M192">
        <v>13430</v>
      </c>
      <c r="N192" s="2">
        <v>45942</v>
      </c>
      <c r="O192" s="2">
        <v>45939</v>
      </c>
      <c r="P192" s="1" t="s">
        <v>19</v>
      </c>
      <c r="Q192" s="1" t="s">
        <v>16</v>
      </c>
      <c r="R192" s="1" t="s">
        <v>22</v>
      </c>
      <c r="S192">
        <v>224</v>
      </c>
      <c r="T192" s="1" t="s">
        <v>628</v>
      </c>
    </row>
    <row r="193" spans="1:20" x14ac:dyDescent="0.3">
      <c r="A193" s="1" t="s">
        <v>629</v>
      </c>
      <c r="B193" s="1" t="s">
        <v>139</v>
      </c>
      <c r="C193">
        <v>17</v>
      </c>
      <c r="D193" s="1" t="s">
        <v>23</v>
      </c>
      <c r="E193" s="1" t="s">
        <v>40</v>
      </c>
      <c r="F193" s="1" t="s">
        <v>120</v>
      </c>
      <c r="G193" s="1" t="s">
        <v>104</v>
      </c>
      <c r="H193" s="1" t="s">
        <v>99</v>
      </c>
      <c r="I193">
        <v>472</v>
      </c>
      <c r="J193">
        <v>2620</v>
      </c>
      <c r="K193">
        <v>7815</v>
      </c>
      <c r="L193">
        <v>14316</v>
      </c>
      <c r="M193">
        <v>25223</v>
      </c>
      <c r="N193" s="2">
        <v>45696</v>
      </c>
      <c r="O193" s="2">
        <v>45669</v>
      </c>
      <c r="P193" s="1" t="s">
        <v>35</v>
      </c>
      <c r="Q193" s="1" t="s">
        <v>9</v>
      </c>
      <c r="R193" s="1" t="s">
        <v>22</v>
      </c>
      <c r="S193">
        <v>194</v>
      </c>
      <c r="T193" s="1" t="s">
        <v>630</v>
      </c>
    </row>
    <row r="194" spans="1:20" x14ac:dyDescent="0.3">
      <c r="A194" s="1" t="s">
        <v>631</v>
      </c>
      <c r="B194" s="1" t="s">
        <v>70</v>
      </c>
      <c r="C194">
        <v>6</v>
      </c>
      <c r="D194" s="1" t="s">
        <v>12</v>
      </c>
      <c r="E194" s="1" t="s">
        <v>38</v>
      </c>
      <c r="F194" s="1" t="s">
        <v>103</v>
      </c>
      <c r="G194" s="1" t="s">
        <v>104</v>
      </c>
      <c r="H194" s="1" t="s">
        <v>145</v>
      </c>
      <c r="I194">
        <v>1475</v>
      </c>
      <c r="J194">
        <v>4048</v>
      </c>
      <c r="K194">
        <v>7031</v>
      </c>
      <c r="L194">
        <v>12869</v>
      </c>
      <c r="M194">
        <v>25423</v>
      </c>
      <c r="N194" s="2">
        <v>45860</v>
      </c>
      <c r="O194" s="2">
        <v>45912</v>
      </c>
      <c r="P194" s="1" t="s">
        <v>34</v>
      </c>
      <c r="Q194" s="1" t="s">
        <v>9</v>
      </c>
      <c r="R194" s="1" t="s">
        <v>22</v>
      </c>
      <c r="S194">
        <v>462</v>
      </c>
      <c r="T194" s="1" t="s">
        <v>632</v>
      </c>
    </row>
    <row r="195" spans="1:20" x14ac:dyDescent="0.3">
      <c r="A195" s="1" t="s">
        <v>633</v>
      </c>
      <c r="B195" s="1" t="s">
        <v>634</v>
      </c>
      <c r="C195">
        <v>36</v>
      </c>
      <c r="D195" s="1" t="s">
        <v>12</v>
      </c>
      <c r="E195" s="1" t="s">
        <v>24</v>
      </c>
      <c r="F195" s="1" t="s">
        <v>109</v>
      </c>
      <c r="G195" s="1" t="s">
        <v>91</v>
      </c>
      <c r="H195" s="1" t="s">
        <v>29</v>
      </c>
      <c r="I195">
        <v>803</v>
      </c>
      <c r="J195">
        <v>2917</v>
      </c>
      <c r="K195">
        <v>4386</v>
      </c>
      <c r="L195">
        <v>7750</v>
      </c>
      <c r="M195">
        <v>15856</v>
      </c>
      <c r="N195" s="2">
        <v>45939</v>
      </c>
      <c r="O195" s="2">
        <v>45903</v>
      </c>
      <c r="P195" s="1" t="s">
        <v>34</v>
      </c>
      <c r="Q195" s="1" t="s">
        <v>9</v>
      </c>
      <c r="R195" s="1" t="s">
        <v>22</v>
      </c>
      <c r="S195">
        <v>529</v>
      </c>
      <c r="T195" s="1" t="s">
        <v>635</v>
      </c>
    </row>
    <row r="196" spans="1:20" x14ac:dyDescent="0.3">
      <c r="A196" s="1" t="s">
        <v>636</v>
      </c>
      <c r="B196" s="1" t="s">
        <v>637</v>
      </c>
      <c r="C196">
        <v>81</v>
      </c>
      <c r="D196" s="1" t="s">
        <v>23</v>
      </c>
      <c r="E196" s="1" t="s">
        <v>20</v>
      </c>
      <c r="F196" s="1" t="s">
        <v>120</v>
      </c>
      <c r="G196" s="1" t="s">
        <v>125</v>
      </c>
      <c r="H196" s="1" t="s">
        <v>99</v>
      </c>
      <c r="I196">
        <v>1282</v>
      </c>
      <c r="J196">
        <v>4960</v>
      </c>
      <c r="K196">
        <v>6701</v>
      </c>
      <c r="L196">
        <v>8940</v>
      </c>
      <c r="M196">
        <v>21883</v>
      </c>
      <c r="N196" s="2">
        <v>45834</v>
      </c>
      <c r="O196" s="2">
        <v>45947</v>
      </c>
      <c r="P196" s="1" t="s">
        <v>110</v>
      </c>
      <c r="Q196" s="1" t="s">
        <v>21</v>
      </c>
      <c r="R196" s="1" t="s">
        <v>22</v>
      </c>
      <c r="S196">
        <v>126</v>
      </c>
      <c r="T196" s="1" t="s">
        <v>638</v>
      </c>
    </row>
    <row r="197" spans="1:20" x14ac:dyDescent="0.3">
      <c r="A197" s="1" t="s">
        <v>639</v>
      </c>
      <c r="B197" s="1" t="s">
        <v>640</v>
      </c>
      <c r="C197">
        <v>4</v>
      </c>
      <c r="D197" s="1" t="s">
        <v>12</v>
      </c>
      <c r="E197" s="1" t="s">
        <v>40</v>
      </c>
      <c r="F197" s="1" t="s">
        <v>103</v>
      </c>
      <c r="G197" s="1" t="s">
        <v>104</v>
      </c>
      <c r="H197" s="1" t="s">
        <v>215</v>
      </c>
      <c r="I197">
        <v>1384</v>
      </c>
      <c r="J197">
        <v>3428</v>
      </c>
      <c r="K197">
        <v>6581</v>
      </c>
      <c r="L197">
        <v>10568</v>
      </c>
      <c r="M197">
        <v>21961</v>
      </c>
      <c r="N197" s="2">
        <v>45777</v>
      </c>
      <c r="O197" s="2">
        <v>45739</v>
      </c>
      <c r="P197" s="1" t="s">
        <v>35</v>
      </c>
      <c r="Q197" s="1" t="s">
        <v>31</v>
      </c>
      <c r="R197" s="1" t="s">
        <v>17</v>
      </c>
      <c r="S197">
        <v>646</v>
      </c>
      <c r="T197" s="1" t="s">
        <v>641</v>
      </c>
    </row>
    <row r="198" spans="1:20" x14ac:dyDescent="0.3">
      <c r="A198" s="1" t="s">
        <v>642</v>
      </c>
      <c r="B198" s="1" t="s">
        <v>139</v>
      </c>
      <c r="C198">
        <v>74</v>
      </c>
      <c r="D198" s="1" t="s">
        <v>12</v>
      </c>
      <c r="E198" s="1" t="s">
        <v>33</v>
      </c>
      <c r="F198" s="1" t="s">
        <v>97</v>
      </c>
      <c r="G198" s="1" t="s">
        <v>104</v>
      </c>
      <c r="H198" s="1" t="s">
        <v>145</v>
      </c>
      <c r="I198">
        <v>660</v>
      </c>
      <c r="J198">
        <v>2437</v>
      </c>
      <c r="K198">
        <v>5153</v>
      </c>
      <c r="L198">
        <v>6210</v>
      </c>
      <c r="M198">
        <v>14460</v>
      </c>
      <c r="N198" s="2">
        <v>46015</v>
      </c>
      <c r="O198" s="2">
        <v>45841</v>
      </c>
      <c r="P198" s="1" t="s">
        <v>136</v>
      </c>
      <c r="Q198" s="1" t="s">
        <v>21</v>
      </c>
      <c r="R198" s="1" t="s">
        <v>87</v>
      </c>
      <c r="S198">
        <v>677</v>
      </c>
      <c r="T198" s="1" t="s">
        <v>643</v>
      </c>
    </row>
    <row r="199" spans="1:20" x14ac:dyDescent="0.3">
      <c r="A199" s="1" t="s">
        <v>644</v>
      </c>
      <c r="B199" s="1" t="s">
        <v>305</v>
      </c>
      <c r="C199">
        <v>64</v>
      </c>
      <c r="D199" s="1" t="s">
        <v>12</v>
      </c>
      <c r="E199" s="1" t="s">
        <v>27</v>
      </c>
      <c r="F199" s="1" t="s">
        <v>109</v>
      </c>
      <c r="G199" s="1" t="s">
        <v>158</v>
      </c>
      <c r="H199" s="1" t="s">
        <v>215</v>
      </c>
      <c r="I199">
        <v>377</v>
      </c>
      <c r="J199">
        <v>1239</v>
      </c>
      <c r="K199">
        <v>760</v>
      </c>
      <c r="L199">
        <v>4811</v>
      </c>
      <c r="M199">
        <v>7187</v>
      </c>
      <c r="N199" s="2">
        <v>45966</v>
      </c>
      <c r="O199" s="2">
        <v>45770</v>
      </c>
      <c r="P199" s="1" t="s">
        <v>34</v>
      </c>
      <c r="Q199" s="1" t="s">
        <v>21</v>
      </c>
      <c r="R199" s="1" t="s">
        <v>87</v>
      </c>
      <c r="S199">
        <v>306</v>
      </c>
      <c r="T199" s="1" t="s">
        <v>645</v>
      </c>
    </row>
    <row r="200" spans="1:20" x14ac:dyDescent="0.3">
      <c r="A200" s="1" t="s">
        <v>646</v>
      </c>
      <c r="B200" s="1" t="s">
        <v>647</v>
      </c>
      <c r="C200">
        <v>23</v>
      </c>
      <c r="D200" s="1" t="s">
        <v>12</v>
      </c>
      <c r="E200" s="1" t="s">
        <v>20</v>
      </c>
      <c r="F200" s="1" t="s">
        <v>103</v>
      </c>
      <c r="G200" s="1" t="s">
        <v>104</v>
      </c>
      <c r="H200" s="1" t="s">
        <v>18</v>
      </c>
      <c r="I200">
        <v>602</v>
      </c>
      <c r="J200">
        <v>1660</v>
      </c>
      <c r="K200">
        <v>6643</v>
      </c>
      <c r="L200">
        <v>2817</v>
      </c>
      <c r="M200">
        <v>11722</v>
      </c>
      <c r="N200" s="2">
        <v>45927</v>
      </c>
      <c r="O200" s="2">
        <v>45844</v>
      </c>
      <c r="P200" s="1" t="s">
        <v>35</v>
      </c>
      <c r="Q200" s="1" t="s">
        <v>9</v>
      </c>
      <c r="R200" s="1" t="s">
        <v>87</v>
      </c>
      <c r="S200">
        <v>203</v>
      </c>
      <c r="T200" s="1" t="s">
        <v>648</v>
      </c>
    </row>
    <row r="201" spans="1:20" x14ac:dyDescent="0.3">
      <c r="A201" s="1" t="s">
        <v>649</v>
      </c>
      <c r="B201" s="1" t="s">
        <v>650</v>
      </c>
      <c r="C201">
        <v>18</v>
      </c>
      <c r="D201" s="1" t="s">
        <v>23</v>
      </c>
      <c r="E201" s="1" t="s">
        <v>40</v>
      </c>
      <c r="F201" s="1" t="s">
        <v>120</v>
      </c>
      <c r="G201" s="1" t="s">
        <v>104</v>
      </c>
      <c r="H201" s="1" t="s">
        <v>215</v>
      </c>
      <c r="I201">
        <v>949</v>
      </c>
      <c r="J201">
        <v>1927</v>
      </c>
      <c r="K201">
        <v>6093</v>
      </c>
      <c r="L201">
        <v>10207</v>
      </c>
      <c r="M201">
        <v>19176</v>
      </c>
      <c r="N201" s="2">
        <v>46013</v>
      </c>
      <c r="O201" s="2">
        <v>45972</v>
      </c>
      <c r="P201" s="1" t="s">
        <v>177</v>
      </c>
      <c r="Q201" s="1" t="s">
        <v>31</v>
      </c>
      <c r="R201" s="1" t="s">
        <v>17</v>
      </c>
      <c r="S201">
        <v>414</v>
      </c>
      <c r="T201" s="1" t="s">
        <v>651</v>
      </c>
    </row>
    <row r="202" spans="1:20" x14ac:dyDescent="0.3">
      <c r="A202" s="1" t="s">
        <v>652</v>
      </c>
      <c r="B202" s="1" t="s">
        <v>653</v>
      </c>
      <c r="C202">
        <v>23</v>
      </c>
      <c r="D202" s="1" t="s">
        <v>23</v>
      </c>
      <c r="E202" s="1" t="s">
        <v>24</v>
      </c>
      <c r="F202" s="1" t="s">
        <v>120</v>
      </c>
      <c r="G202" s="1" t="s">
        <v>125</v>
      </c>
      <c r="H202" s="1" t="s">
        <v>29</v>
      </c>
      <c r="I202">
        <v>672</v>
      </c>
      <c r="J202">
        <v>3106</v>
      </c>
      <c r="K202">
        <v>7845</v>
      </c>
      <c r="L202">
        <v>14251</v>
      </c>
      <c r="M202">
        <v>25874</v>
      </c>
      <c r="N202" s="2">
        <v>45971</v>
      </c>
      <c r="O202" s="2">
        <v>45771</v>
      </c>
      <c r="P202" s="1" t="s">
        <v>136</v>
      </c>
      <c r="Q202" s="1" t="s">
        <v>31</v>
      </c>
      <c r="R202" s="1" t="s">
        <v>17</v>
      </c>
      <c r="S202">
        <v>863</v>
      </c>
      <c r="T202" s="1" t="s">
        <v>654</v>
      </c>
    </row>
    <row r="203" spans="1:20" x14ac:dyDescent="0.3">
      <c r="A203" s="1" t="s">
        <v>655</v>
      </c>
      <c r="B203" s="1" t="s">
        <v>302</v>
      </c>
      <c r="C203">
        <v>41</v>
      </c>
      <c r="D203" s="1" t="s">
        <v>23</v>
      </c>
      <c r="E203" s="1" t="s">
        <v>20</v>
      </c>
      <c r="F203" s="1" t="s">
        <v>114</v>
      </c>
      <c r="G203" s="1" t="s">
        <v>91</v>
      </c>
      <c r="H203" s="1" t="s">
        <v>186</v>
      </c>
      <c r="I203">
        <v>1214</v>
      </c>
      <c r="J203">
        <v>593</v>
      </c>
      <c r="K203">
        <v>2472</v>
      </c>
      <c r="L203">
        <v>4435</v>
      </c>
      <c r="M203">
        <v>8714</v>
      </c>
      <c r="N203" s="2">
        <v>45785</v>
      </c>
      <c r="O203" s="2">
        <v>46012</v>
      </c>
      <c r="P203" s="1" t="s">
        <v>35</v>
      </c>
      <c r="Q203" s="1" t="s">
        <v>16</v>
      </c>
      <c r="R203" s="1" t="s">
        <v>87</v>
      </c>
      <c r="S203">
        <v>101</v>
      </c>
      <c r="T203" s="1" t="s">
        <v>656</v>
      </c>
    </row>
    <row r="204" spans="1:20" x14ac:dyDescent="0.3">
      <c r="A204" s="1" t="s">
        <v>657</v>
      </c>
      <c r="B204" s="1" t="s">
        <v>658</v>
      </c>
      <c r="C204">
        <v>54</v>
      </c>
      <c r="D204" s="1" t="s">
        <v>23</v>
      </c>
      <c r="E204" s="1" t="s">
        <v>40</v>
      </c>
      <c r="F204" s="1" t="s">
        <v>120</v>
      </c>
      <c r="G204" s="1" t="s">
        <v>85</v>
      </c>
      <c r="H204" s="1" t="s">
        <v>215</v>
      </c>
      <c r="I204">
        <v>1075</v>
      </c>
      <c r="J204">
        <v>3377</v>
      </c>
      <c r="K204">
        <v>4773</v>
      </c>
      <c r="L204">
        <v>7149</v>
      </c>
      <c r="M204">
        <v>16374</v>
      </c>
      <c r="N204" s="2">
        <v>45709</v>
      </c>
      <c r="O204" s="2">
        <v>45903</v>
      </c>
      <c r="P204" s="1" t="s">
        <v>136</v>
      </c>
      <c r="Q204" s="1" t="s">
        <v>9</v>
      </c>
      <c r="R204" s="1" t="s">
        <v>22</v>
      </c>
      <c r="S204">
        <v>918</v>
      </c>
      <c r="T204" s="1" t="s">
        <v>659</v>
      </c>
    </row>
    <row r="205" spans="1:20" x14ac:dyDescent="0.3">
      <c r="A205" s="1" t="s">
        <v>660</v>
      </c>
      <c r="B205" s="1" t="s">
        <v>661</v>
      </c>
      <c r="C205">
        <v>3</v>
      </c>
      <c r="D205" s="1" t="s">
        <v>12</v>
      </c>
      <c r="E205" s="1" t="s">
        <v>24</v>
      </c>
      <c r="F205" s="1" t="s">
        <v>124</v>
      </c>
      <c r="G205" s="1" t="s">
        <v>91</v>
      </c>
      <c r="H205" s="1" t="s">
        <v>13</v>
      </c>
      <c r="I205">
        <v>451</v>
      </c>
      <c r="J205">
        <v>3300</v>
      </c>
      <c r="K205">
        <v>1693</v>
      </c>
      <c r="L205">
        <v>7151</v>
      </c>
      <c r="M205">
        <v>12595</v>
      </c>
      <c r="N205" s="2">
        <v>45740</v>
      </c>
      <c r="O205" s="2">
        <v>45696</v>
      </c>
      <c r="P205" s="1" t="s">
        <v>110</v>
      </c>
      <c r="Q205" s="1" t="s">
        <v>9</v>
      </c>
      <c r="R205" s="1" t="s">
        <v>87</v>
      </c>
      <c r="S205">
        <v>131</v>
      </c>
      <c r="T205" s="1" t="s">
        <v>662</v>
      </c>
    </row>
    <row r="206" spans="1:20" x14ac:dyDescent="0.3">
      <c r="A206" s="1" t="s">
        <v>663</v>
      </c>
      <c r="B206" s="1" t="s">
        <v>412</v>
      </c>
      <c r="C206">
        <v>56</v>
      </c>
      <c r="D206" s="1" t="s">
        <v>23</v>
      </c>
      <c r="E206" s="1" t="s">
        <v>36</v>
      </c>
      <c r="F206" s="1" t="s">
        <v>103</v>
      </c>
      <c r="G206" s="1" t="s">
        <v>104</v>
      </c>
      <c r="H206" s="1" t="s">
        <v>13</v>
      </c>
      <c r="I206">
        <v>978</v>
      </c>
      <c r="J206">
        <v>2183</v>
      </c>
      <c r="K206">
        <v>1856</v>
      </c>
      <c r="L206">
        <v>7705</v>
      </c>
      <c r="M206">
        <v>12722</v>
      </c>
      <c r="N206" s="2">
        <v>46014</v>
      </c>
      <c r="O206" s="2">
        <v>45941</v>
      </c>
      <c r="P206" s="1" t="s">
        <v>110</v>
      </c>
      <c r="Q206" s="1" t="s">
        <v>21</v>
      </c>
      <c r="R206" s="1" t="s">
        <v>17</v>
      </c>
      <c r="S206">
        <v>343</v>
      </c>
      <c r="T206" s="1" t="s">
        <v>664</v>
      </c>
    </row>
    <row r="207" spans="1:20" x14ac:dyDescent="0.3">
      <c r="A207" s="1" t="s">
        <v>665</v>
      </c>
      <c r="B207" s="1" t="s">
        <v>370</v>
      </c>
      <c r="C207">
        <v>74</v>
      </c>
      <c r="D207" s="1" t="s">
        <v>12</v>
      </c>
      <c r="E207" s="1" t="s">
        <v>27</v>
      </c>
      <c r="F207" s="1" t="s">
        <v>109</v>
      </c>
      <c r="G207" s="1" t="s">
        <v>85</v>
      </c>
      <c r="H207" s="1" t="s">
        <v>29</v>
      </c>
      <c r="I207">
        <v>1038</v>
      </c>
      <c r="J207">
        <v>531</v>
      </c>
      <c r="K207">
        <v>3802</v>
      </c>
      <c r="L207">
        <v>2435</v>
      </c>
      <c r="M207">
        <v>7806</v>
      </c>
      <c r="N207" s="2">
        <v>45808</v>
      </c>
      <c r="O207" s="2">
        <v>45996</v>
      </c>
      <c r="P207" s="1" t="s">
        <v>136</v>
      </c>
      <c r="Q207" s="1" t="s">
        <v>16</v>
      </c>
      <c r="R207" s="1" t="s">
        <v>22</v>
      </c>
      <c r="S207">
        <v>311</v>
      </c>
      <c r="T207" s="1" t="s">
        <v>666</v>
      </c>
    </row>
    <row r="208" spans="1:20" x14ac:dyDescent="0.3">
      <c r="A208" s="1" t="s">
        <v>667</v>
      </c>
      <c r="B208" s="1" t="s">
        <v>668</v>
      </c>
      <c r="C208">
        <v>61</v>
      </c>
      <c r="D208" s="1" t="s">
        <v>23</v>
      </c>
      <c r="E208" s="1" t="s">
        <v>38</v>
      </c>
      <c r="F208" s="1" t="s">
        <v>124</v>
      </c>
      <c r="G208" s="1" t="s">
        <v>85</v>
      </c>
      <c r="H208" s="1" t="s">
        <v>155</v>
      </c>
      <c r="I208">
        <v>1264</v>
      </c>
      <c r="J208">
        <v>4506</v>
      </c>
      <c r="K208">
        <v>7630</v>
      </c>
      <c r="L208">
        <v>11830</v>
      </c>
      <c r="M208">
        <v>25230</v>
      </c>
      <c r="N208" s="2">
        <v>45793</v>
      </c>
      <c r="O208" s="2">
        <v>45704</v>
      </c>
      <c r="P208" s="1" t="s">
        <v>110</v>
      </c>
      <c r="Q208" s="1" t="s">
        <v>21</v>
      </c>
      <c r="R208" s="1" t="s">
        <v>17</v>
      </c>
      <c r="S208">
        <v>478</v>
      </c>
      <c r="T208" s="1" t="s">
        <v>669</v>
      </c>
    </row>
    <row r="209" spans="1:20" x14ac:dyDescent="0.3">
      <c r="A209" s="1" t="s">
        <v>670</v>
      </c>
      <c r="B209" s="1" t="s">
        <v>69</v>
      </c>
      <c r="C209">
        <v>34</v>
      </c>
      <c r="D209" s="1" t="s">
        <v>12</v>
      </c>
      <c r="E209" s="1" t="s">
        <v>24</v>
      </c>
      <c r="F209" s="1" t="s">
        <v>135</v>
      </c>
      <c r="G209" s="1" t="s">
        <v>104</v>
      </c>
      <c r="H209" s="1" t="s">
        <v>165</v>
      </c>
      <c r="I209">
        <v>763</v>
      </c>
      <c r="J209">
        <v>2700</v>
      </c>
      <c r="K209">
        <v>4922</v>
      </c>
      <c r="L209">
        <v>2009</v>
      </c>
      <c r="M209">
        <v>10394</v>
      </c>
      <c r="N209" s="2">
        <v>45735</v>
      </c>
      <c r="O209" s="2">
        <v>46014</v>
      </c>
      <c r="P209" s="1" t="s">
        <v>35</v>
      </c>
      <c r="Q209" s="1" t="s">
        <v>21</v>
      </c>
      <c r="R209" s="1" t="s">
        <v>87</v>
      </c>
      <c r="S209">
        <v>523</v>
      </c>
      <c r="T209" s="1" t="s">
        <v>671</v>
      </c>
    </row>
    <row r="210" spans="1:20" x14ac:dyDescent="0.3">
      <c r="A210" s="1" t="s">
        <v>672</v>
      </c>
      <c r="B210" s="1" t="s">
        <v>325</v>
      </c>
      <c r="C210">
        <v>71</v>
      </c>
      <c r="D210" s="1" t="s">
        <v>23</v>
      </c>
      <c r="E210" s="1" t="s">
        <v>38</v>
      </c>
      <c r="F210" s="1" t="s">
        <v>120</v>
      </c>
      <c r="G210" s="1" t="s">
        <v>176</v>
      </c>
      <c r="H210" s="1" t="s">
        <v>199</v>
      </c>
      <c r="I210">
        <v>1396</v>
      </c>
      <c r="J210">
        <v>4389</v>
      </c>
      <c r="K210">
        <v>4991</v>
      </c>
      <c r="L210">
        <v>4860</v>
      </c>
      <c r="M210">
        <v>15636</v>
      </c>
      <c r="N210" s="2">
        <v>45901</v>
      </c>
      <c r="O210" s="2">
        <v>45811</v>
      </c>
      <c r="P210" s="1" t="s">
        <v>35</v>
      </c>
      <c r="Q210" s="1" t="s">
        <v>16</v>
      </c>
      <c r="R210" s="1" t="s">
        <v>87</v>
      </c>
      <c r="S210">
        <v>684</v>
      </c>
      <c r="T210" s="1" t="s">
        <v>673</v>
      </c>
    </row>
    <row r="211" spans="1:20" x14ac:dyDescent="0.3">
      <c r="A211" s="1" t="s">
        <v>674</v>
      </c>
      <c r="B211" s="1" t="s">
        <v>675</v>
      </c>
      <c r="C211">
        <v>80</v>
      </c>
      <c r="D211" s="1" t="s">
        <v>23</v>
      </c>
      <c r="E211" s="1" t="s">
        <v>38</v>
      </c>
      <c r="F211" s="1" t="s">
        <v>114</v>
      </c>
      <c r="G211" s="1" t="s">
        <v>158</v>
      </c>
      <c r="H211" s="1" t="s">
        <v>92</v>
      </c>
      <c r="I211">
        <v>654</v>
      </c>
      <c r="J211">
        <v>1869</v>
      </c>
      <c r="K211">
        <v>2035</v>
      </c>
      <c r="L211">
        <v>14245</v>
      </c>
      <c r="M211">
        <v>18803</v>
      </c>
      <c r="N211" s="2">
        <v>45756</v>
      </c>
      <c r="O211" s="2">
        <v>45722</v>
      </c>
      <c r="P211" s="1" t="s">
        <v>34</v>
      </c>
      <c r="Q211" s="1" t="s">
        <v>9</v>
      </c>
      <c r="R211" s="1" t="s">
        <v>22</v>
      </c>
      <c r="S211">
        <v>942</v>
      </c>
      <c r="T211" s="1" t="s">
        <v>676</v>
      </c>
    </row>
    <row r="212" spans="1:20" x14ac:dyDescent="0.3">
      <c r="A212" s="1" t="s">
        <v>677</v>
      </c>
      <c r="B212" s="1" t="s">
        <v>678</v>
      </c>
      <c r="C212">
        <v>34</v>
      </c>
      <c r="D212" s="1" t="s">
        <v>12</v>
      </c>
      <c r="E212" s="1" t="s">
        <v>33</v>
      </c>
      <c r="F212" s="1" t="s">
        <v>114</v>
      </c>
      <c r="G212" s="1" t="s">
        <v>176</v>
      </c>
      <c r="H212" s="1" t="s">
        <v>37</v>
      </c>
      <c r="I212">
        <v>1094</v>
      </c>
      <c r="J212">
        <v>3755</v>
      </c>
      <c r="K212">
        <v>4822</v>
      </c>
      <c r="L212">
        <v>6343</v>
      </c>
      <c r="M212">
        <v>16014</v>
      </c>
      <c r="N212" s="2">
        <v>45799</v>
      </c>
      <c r="O212" s="2">
        <v>45924</v>
      </c>
      <c r="P212" s="1" t="s">
        <v>116</v>
      </c>
      <c r="Q212" s="1" t="s">
        <v>9</v>
      </c>
      <c r="R212" s="1" t="s">
        <v>22</v>
      </c>
      <c r="S212">
        <v>524</v>
      </c>
      <c r="T212" s="1" t="s">
        <v>679</v>
      </c>
    </row>
    <row r="213" spans="1:20" x14ac:dyDescent="0.3">
      <c r="A213" s="1" t="s">
        <v>680</v>
      </c>
      <c r="B213" s="1" t="s">
        <v>575</v>
      </c>
      <c r="C213">
        <v>76</v>
      </c>
      <c r="D213" s="1" t="s">
        <v>23</v>
      </c>
      <c r="E213" s="1" t="s">
        <v>27</v>
      </c>
      <c r="F213" s="1" t="s">
        <v>114</v>
      </c>
      <c r="G213" s="1" t="s">
        <v>98</v>
      </c>
      <c r="H213" s="1" t="s">
        <v>13</v>
      </c>
      <c r="I213">
        <v>885</v>
      </c>
      <c r="J213">
        <v>4887</v>
      </c>
      <c r="K213">
        <v>7510</v>
      </c>
      <c r="L213">
        <v>6633</v>
      </c>
      <c r="M213">
        <v>19915</v>
      </c>
      <c r="N213" s="2">
        <v>45868</v>
      </c>
      <c r="O213" s="2">
        <v>45793</v>
      </c>
      <c r="P213" s="1" t="s">
        <v>93</v>
      </c>
      <c r="Q213" s="1" t="s">
        <v>9</v>
      </c>
      <c r="R213" s="1" t="s">
        <v>22</v>
      </c>
      <c r="S213">
        <v>276</v>
      </c>
      <c r="T213" s="1" t="s">
        <v>681</v>
      </c>
    </row>
    <row r="214" spans="1:20" x14ac:dyDescent="0.3">
      <c r="A214" s="1" t="s">
        <v>682</v>
      </c>
      <c r="B214" s="1" t="s">
        <v>273</v>
      </c>
      <c r="C214">
        <v>80</v>
      </c>
      <c r="D214" s="1" t="s">
        <v>12</v>
      </c>
      <c r="E214" s="1" t="s">
        <v>33</v>
      </c>
      <c r="F214" s="1" t="s">
        <v>103</v>
      </c>
      <c r="G214" s="1" t="s">
        <v>91</v>
      </c>
      <c r="H214" s="1" t="s">
        <v>155</v>
      </c>
      <c r="I214">
        <v>978</v>
      </c>
      <c r="J214">
        <v>2446</v>
      </c>
      <c r="K214">
        <v>703</v>
      </c>
      <c r="L214">
        <v>13218</v>
      </c>
      <c r="M214">
        <v>17345</v>
      </c>
      <c r="N214" s="2">
        <v>45901</v>
      </c>
      <c r="O214" s="2">
        <v>45795</v>
      </c>
      <c r="P214" s="1" t="s">
        <v>177</v>
      </c>
      <c r="Q214" s="1" t="s">
        <v>21</v>
      </c>
      <c r="R214" s="1" t="s">
        <v>17</v>
      </c>
      <c r="S214">
        <v>387</v>
      </c>
      <c r="T214" s="1" t="s">
        <v>683</v>
      </c>
    </row>
    <row r="215" spans="1:20" x14ac:dyDescent="0.3">
      <c r="A215" s="1" t="s">
        <v>684</v>
      </c>
      <c r="B215" s="1" t="s">
        <v>11</v>
      </c>
      <c r="C215">
        <v>30</v>
      </c>
      <c r="D215" s="1" t="s">
        <v>23</v>
      </c>
      <c r="E215" s="1" t="s">
        <v>40</v>
      </c>
      <c r="F215" s="1" t="s">
        <v>124</v>
      </c>
      <c r="G215" s="1" t="s">
        <v>125</v>
      </c>
      <c r="H215" s="1" t="s">
        <v>92</v>
      </c>
      <c r="I215">
        <v>957</v>
      </c>
      <c r="J215">
        <v>2707</v>
      </c>
      <c r="K215">
        <v>6270</v>
      </c>
      <c r="L215">
        <v>7828</v>
      </c>
      <c r="M215">
        <v>17762</v>
      </c>
      <c r="N215" s="2">
        <v>45967</v>
      </c>
      <c r="O215" s="2">
        <v>45988</v>
      </c>
      <c r="P215" s="1" t="s">
        <v>35</v>
      </c>
      <c r="Q215" s="1" t="s">
        <v>31</v>
      </c>
      <c r="R215" s="1" t="s">
        <v>17</v>
      </c>
      <c r="S215">
        <v>858</v>
      </c>
      <c r="T215" s="1" t="s">
        <v>685</v>
      </c>
    </row>
    <row r="216" spans="1:20" x14ac:dyDescent="0.3">
      <c r="A216" s="1" t="s">
        <v>686</v>
      </c>
      <c r="B216" s="1" t="s">
        <v>687</v>
      </c>
      <c r="C216">
        <v>8</v>
      </c>
      <c r="D216" s="1" t="s">
        <v>23</v>
      </c>
      <c r="E216" s="1" t="s">
        <v>15</v>
      </c>
      <c r="F216" s="1" t="s">
        <v>114</v>
      </c>
      <c r="G216" s="1" t="s">
        <v>85</v>
      </c>
      <c r="H216" s="1" t="s">
        <v>26</v>
      </c>
      <c r="I216">
        <v>1337</v>
      </c>
      <c r="J216">
        <v>3804</v>
      </c>
      <c r="K216">
        <v>1411</v>
      </c>
      <c r="L216">
        <v>13787</v>
      </c>
      <c r="M216">
        <v>20339</v>
      </c>
      <c r="N216" s="2">
        <v>45926</v>
      </c>
      <c r="O216" s="2">
        <v>45949</v>
      </c>
      <c r="P216" s="1" t="s">
        <v>34</v>
      </c>
      <c r="Q216" s="1" t="s">
        <v>31</v>
      </c>
      <c r="R216" s="1" t="s">
        <v>22</v>
      </c>
      <c r="S216">
        <v>355</v>
      </c>
      <c r="T216" s="1" t="s">
        <v>688</v>
      </c>
    </row>
    <row r="217" spans="1:20" x14ac:dyDescent="0.3">
      <c r="A217" s="1" t="s">
        <v>689</v>
      </c>
      <c r="B217" s="1" t="s">
        <v>69</v>
      </c>
      <c r="C217">
        <v>47</v>
      </c>
      <c r="D217" s="1" t="s">
        <v>23</v>
      </c>
      <c r="E217" s="1" t="s">
        <v>40</v>
      </c>
      <c r="F217" s="1" t="s">
        <v>124</v>
      </c>
      <c r="G217" s="1" t="s">
        <v>91</v>
      </c>
      <c r="H217" s="1" t="s">
        <v>99</v>
      </c>
      <c r="I217">
        <v>1250</v>
      </c>
      <c r="J217">
        <v>4637</v>
      </c>
      <c r="K217">
        <v>3551</v>
      </c>
      <c r="L217">
        <v>11410</v>
      </c>
      <c r="M217">
        <v>20848</v>
      </c>
      <c r="N217" s="2">
        <v>45721</v>
      </c>
      <c r="O217" s="2">
        <v>46006</v>
      </c>
      <c r="P217" s="1" t="s">
        <v>34</v>
      </c>
      <c r="Q217" s="1" t="s">
        <v>9</v>
      </c>
      <c r="R217" s="1" t="s">
        <v>87</v>
      </c>
      <c r="S217">
        <v>556</v>
      </c>
      <c r="T217" s="1" t="s">
        <v>690</v>
      </c>
    </row>
    <row r="218" spans="1:20" x14ac:dyDescent="0.3">
      <c r="A218" s="1" t="s">
        <v>691</v>
      </c>
      <c r="B218" s="1" t="s">
        <v>692</v>
      </c>
      <c r="C218">
        <v>71</v>
      </c>
      <c r="D218" s="1" t="s">
        <v>12</v>
      </c>
      <c r="E218" s="1" t="s">
        <v>40</v>
      </c>
      <c r="F218" s="1" t="s">
        <v>97</v>
      </c>
      <c r="G218" s="1" t="s">
        <v>176</v>
      </c>
      <c r="H218" s="1" t="s">
        <v>145</v>
      </c>
      <c r="I218">
        <v>829</v>
      </c>
      <c r="J218">
        <v>1240</v>
      </c>
      <c r="K218">
        <v>2635</v>
      </c>
      <c r="L218">
        <v>1449</v>
      </c>
      <c r="M218">
        <v>6153</v>
      </c>
      <c r="N218" s="2">
        <v>45855</v>
      </c>
      <c r="O218" s="2">
        <v>45683</v>
      </c>
      <c r="P218" s="1" t="s">
        <v>25</v>
      </c>
      <c r="Q218" s="1" t="s">
        <v>31</v>
      </c>
      <c r="R218" s="1" t="s">
        <v>87</v>
      </c>
      <c r="S218">
        <v>330</v>
      </c>
      <c r="T218" s="1" t="s">
        <v>693</v>
      </c>
    </row>
    <row r="219" spans="1:20" x14ac:dyDescent="0.3">
      <c r="A219" s="1" t="s">
        <v>694</v>
      </c>
      <c r="B219" s="1" t="s">
        <v>108</v>
      </c>
      <c r="C219">
        <v>84</v>
      </c>
      <c r="D219" s="1" t="s">
        <v>12</v>
      </c>
      <c r="E219" s="1" t="s">
        <v>36</v>
      </c>
      <c r="F219" s="1" t="s">
        <v>103</v>
      </c>
      <c r="G219" s="1" t="s">
        <v>98</v>
      </c>
      <c r="H219" s="1" t="s">
        <v>18</v>
      </c>
      <c r="I219">
        <v>1270</v>
      </c>
      <c r="J219">
        <v>1583</v>
      </c>
      <c r="K219">
        <v>5603</v>
      </c>
      <c r="L219">
        <v>3837</v>
      </c>
      <c r="M219">
        <v>12293</v>
      </c>
      <c r="N219" s="2">
        <v>45965</v>
      </c>
      <c r="O219" s="2">
        <v>45662</v>
      </c>
      <c r="P219" s="1" t="s">
        <v>19</v>
      </c>
      <c r="Q219" s="1" t="s">
        <v>21</v>
      </c>
      <c r="R219" s="1" t="s">
        <v>87</v>
      </c>
      <c r="S219">
        <v>826</v>
      </c>
      <c r="T219" s="1" t="s">
        <v>695</v>
      </c>
    </row>
    <row r="220" spans="1:20" x14ac:dyDescent="0.3">
      <c r="A220" s="1" t="s">
        <v>696</v>
      </c>
      <c r="B220" s="1" t="s">
        <v>697</v>
      </c>
      <c r="C220">
        <v>49</v>
      </c>
      <c r="D220" s="1" t="s">
        <v>12</v>
      </c>
      <c r="E220" s="1" t="s">
        <v>24</v>
      </c>
      <c r="F220" s="1" t="s">
        <v>135</v>
      </c>
      <c r="G220" s="1" t="s">
        <v>158</v>
      </c>
      <c r="H220" s="1" t="s">
        <v>165</v>
      </c>
      <c r="I220">
        <v>746</v>
      </c>
      <c r="J220">
        <v>4323</v>
      </c>
      <c r="K220">
        <v>2775</v>
      </c>
      <c r="L220">
        <v>12095</v>
      </c>
      <c r="M220">
        <v>19939</v>
      </c>
      <c r="N220" s="2">
        <v>45924</v>
      </c>
      <c r="O220" s="2">
        <v>45977</v>
      </c>
      <c r="P220" s="1" t="s">
        <v>93</v>
      </c>
      <c r="Q220" s="1" t="s">
        <v>21</v>
      </c>
      <c r="R220" s="1" t="s">
        <v>87</v>
      </c>
      <c r="S220">
        <v>762</v>
      </c>
      <c r="T220" s="1" t="s">
        <v>698</v>
      </c>
    </row>
    <row r="221" spans="1:20" x14ac:dyDescent="0.3">
      <c r="A221" s="1" t="s">
        <v>699</v>
      </c>
      <c r="B221" s="1" t="s">
        <v>700</v>
      </c>
      <c r="C221">
        <v>39</v>
      </c>
      <c r="D221" s="1" t="s">
        <v>23</v>
      </c>
      <c r="E221" s="1" t="s">
        <v>40</v>
      </c>
      <c r="F221" s="1" t="s">
        <v>135</v>
      </c>
      <c r="G221" s="1" t="s">
        <v>85</v>
      </c>
      <c r="H221" s="1" t="s">
        <v>37</v>
      </c>
      <c r="I221">
        <v>988</v>
      </c>
      <c r="J221">
        <v>2764</v>
      </c>
      <c r="K221">
        <v>5547</v>
      </c>
      <c r="L221">
        <v>6327</v>
      </c>
      <c r="M221">
        <v>15626</v>
      </c>
      <c r="N221" s="2">
        <v>45799</v>
      </c>
      <c r="O221" s="2">
        <v>45791</v>
      </c>
      <c r="P221" s="1" t="s">
        <v>14</v>
      </c>
      <c r="Q221" s="1" t="s">
        <v>31</v>
      </c>
      <c r="R221" s="1" t="s">
        <v>22</v>
      </c>
      <c r="S221">
        <v>924</v>
      </c>
      <c r="T221" s="1" t="s">
        <v>701</v>
      </c>
    </row>
    <row r="222" spans="1:20" x14ac:dyDescent="0.3">
      <c r="A222" s="1" t="s">
        <v>702</v>
      </c>
      <c r="B222" s="1" t="s">
        <v>703</v>
      </c>
      <c r="C222">
        <v>85</v>
      </c>
      <c r="D222" s="1" t="s">
        <v>12</v>
      </c>
      <c r="E222" s="1" t="s">
        <v>40</v>
      </c>
      <c r="F222" s="1" t="s">
        <v>109</v>
      </c>
      <c r="G222" s="1" t="s">
        <v>91</v>
      </c>
      <c r="H222" s="1" t="s">
        <v>18</v>
      </c>
      <c r="I222">
        <v>1318</v>
      </c>
      <c r="J222">
        <v>2921</v>
      </c>
      <c r="K222">
        <v>2425</v>
      </c>
      <c r="L222">
        <v>7857</v>
      </c>
      <c r="M222">
        <v>14521</v>
      </c>
      <c r="N222" s="2">
        <v>45865</v>
      </c>
      <c r="O222" s="2">
        <v>45856</v>
      </c>
      <c r="P222" s="1" t="s">
        <v>34</v>
      </c>
      <c r="Q222" s="1" t="s">
        <v>31</v>
      </c>
      <c r="R222" s="1" t="s">
        <v>87</v>
      </c>
      <c r="S222">
        <v>647</v>
      </c>
      <c r="T222" s="1" t="s">
        <v>704</v>
      </c>
    </row>
    <row r="223" spans="1:20" x14ac:dyDescent="0.3">
      <c r="A223" s="1" t="s">
        <v>705</v>
      </c>
      <c r="B223" s="1" t="s">
        <v>602</v>
      </c>
      <c r="C223">
        <v>65</v>
      </c>
      <c r="D223" s="1" t="s">
        <v>12</v>
      </c>
      <c r="E223" s="1" t="s">
        <v>20</v>
      </c>
      <c r="F223" s="1" t="s">
        <v>109</v>
      </c>
      <c r="G223" s="1" t="s">
        <v>104</v>
      </c>
      <c r="H223" s="1" t="s">
        <v>145</v>
      </c>
      <c r="I223">
        <v>901</v>
      </c>
      <c r="J223">
        <v>1299</v>
      </c>
      <c r="K223">
        <v>4156</v>
      </c>
      <c r="L223">
        <v>3096</v>
      </c>
      <c r="M223">
        <v>9452</v>
      </c>
      <c r="N223" s="2">
        <v>45790</v>
      </c>
      <c r="O223" s="2">
        <v>45944</v>
      </c>
      <c r="P223" s="1" t="s">
        <v>25</v>
      </c>
      <c r="Q223" s="1" t="s">
        <v>16</v>
      </c>
      <c r="R223" s="1" t="s">
        <v>22</v>
      </c>
      <c r="S223">
        <v>463</v>
      </c>
      <c r="T223" s="1" t="s">
        <v>706</v>
      </c>
    </row>
    <row r="224" spans="1:20" x14ac:dyDescent="0.3">
      <c r="A224" s="1" t="s">
        <v>707</v>
      </c>
      <c r="B224" s="1" t="s">
        <v>708</v>
      </c>
      <c r="C224">
        <v>43</v>
      </c>
      <c r="D224" s="1" t="s">
        <v>12</v>
      </c>
      <c r="E224" s="1" t="s">
        <v>24</v>
      </c>
      <c r="F224" s="1" t="s">
        <v>124</v>
      </c>
      <c r="G224" s="1" t="s">
        <v>125</v>
      </c>
      <c r="H224" s="1" t="s">
        <v>26</v>
      </c>
      <c r="I224">
        <v>1249</v>
      </c>
      <c r="J224">
        <v>1464</v>
      </c>
      <c r="K224">
        <v>4154</v>
      </c>
      <c r="L224">
        <v>1879</v>
      </c>
      <c r="M224">
        <v>8746</v>
      </c>
      <c r="N224" s="2">
        <v>45982</v>
      </c>
      <c r="O224" s="2">
        <v>45956</v>
      </c>
      <c r="P224" s="1" t="s">
        <v>136</v>
      </c>
      <c r="Q224" s="1" t="s">
        <v>31</v>
      </c>
      <c r="R224" s="1" t="s">
        <v>87</v>
      </c>
      <c r="S224">
        <v>222</v>
      </c>
      <c r="T224" s="1" t="s">
        <v>709</v>
      </c>
    </row>
    <row r="225" spans="1:20" x14ac:dyDescent="0.3">
      <c r="A225" s="1" t="s">
        <v>710</v>
      </c>
      <c r="B225" s="1" t="s">
        <v>341</v>
      </c>
      <c r="C225">
        <v>39</v>
      </c>
      <c r="D225" s="1" t="s">
        <v>12</v>
      </c>
      <c r="E225" s="1" t="s">
        <v>20</v>
      </c>
      <c r="F225" s="1" t="s">
        <v>103</v>
      </c>
      <c r="G225" s="1" t="s">
        <v>176</v>
      </c>
      <c r="H225" s="1" t="s">
        <v>86</v>
      </c>
      <c r="I225">
        <v>581</v>
      </c>
      <c r="J225">
        <v>2140</v>
      </c>
      <c r="K225">
        <v>3107</v>
      </c>
      <c r="L225">
        <v>7704</v>
      </c>
      <c r="M225">
        <v>13532</v>
      </c>
      <c r="N225" s="2">
        <v>45949</v>
      </c>
      <c r="O225" s="2">
        <v>45892</v>
      </c>
      <c r="P225" s="1" t="s">
        <v>25</v>
      </c>
      <c r="Q225" s="1" t="s">
        <v>31</v>
      </c>
      <c r="R225" s="1" t="s">
        <v>22</v>
      </c>
      <c r="S225">
        <v>599</v>
      </c>
      <c r="T225" s="1" t="s">
        <v>711</v>
      </c>
    </row>
    <row r="226" spans="1:20" x14ac:dyDescent="0.3">
      <c r="A226" s="1" t="s">
        <v>712</v>
      </c>
      <c r="B226" s="1" t="s">
        <v>713</v>
      </c>
      <c r="C226">
        <v>82</v>
      </c>
      <c r="D226" s="1" t="s">
        <v>23</v>
      </c>
      <c r="E226" s="1" t="s">
        <v>27</v>
      </c>
      <c r="F226" s="1" t="s">
        <v>103</v>
      </c>
      <c r="G226" s="1" t="s">
        <v>176</v>
      </c>
      <c r="H226" s="1" t="s">
        <v>92</v>
      </c>
      <c r="I226">
        <v>860</v>
      </c>
      <c r="J226">
        <v>2215</v>
      </c>
      <c r="K226">
        <v>6535</v>
      </c>
      <c r="L226">
        <v>13673</v>
      </c>
      <c r="M226">
        <v>23283</v>
      </c>
      <c r="N226" s="2">
        <v>45744</v>
      </c>
      <c r="O226" s="2">
        <v>45953</v>
      </c>
      <c r="P226" s="1" t="s">
        <v>25</v>
      </c>
      <c r="Q226" s="1" t="s">
        <v>16</v>
      </c>
      <c r="R226" s="1" t="s">
        <v>22</v>
      </c>
      <c r="S226">
        <v>729</v>
      </c>
      <c r="T226" s="1" t="s">
        <v>714</v>
      </c>
    </row>
    <row r="227" spans="1:20" x14ac:dyDescent="0.3">
      <c r="A227" s="1" t="s">
        <v>715</v>
      </c>
      <c r="B227" s="1" t="s">
        <v>51</v>
      </c>
      <c r="C227">
        <v>55</v>
      </c>
      <c r="D227" s="1" t="s">
        <v>12</v>
      </c>
      <c r="E227" s="1" t="s">
        <v>40</v>
      </c>
      <c r="F227" s="1" t="s">
        <v>120</v>
      </c>
      <c r="G227" s="1" t="s">
        <v>158</v>
      </c>
      <c r="H227" s="1" t="s">
        <v>18</v>
      </c>
      <c r="I227">
        <v>377</v>
      </c>
      <c r="J227">
        <v>4872</v>
      </c>
      <c r="K227">
        <v>1933</v>
      </c>
      <c r="L227">
        <v>12971</v>
      </c>
      <c r="M227">
        <v>20153</v>
      </c>
      <c r="N227" s="2">
        <v>45849</v>
      </c>
      <c r="O227" s="2">
        <v>45665</v>
      </c>
      <c r="P227" s="1" t="s">
        <v>177</v>
      </c>
      <c r="Q227" s="1" t="s">
        <v>16</v>
      </c>
      <c r="R227" s="1" t="s">
        <v>87</v>
      </c>
      <c r="S227">
        <v>851</v>
      </c>
      <c r="T227" s="1" t="s">
        <v>716</v>
      </c>
    </row>
    <row r="228" spans="1:20" x14ac:dyDescent="0.3">
      <c r="A228" s="1" t="s">
        <v>717</v>
      </c>
      <c r="B228" s="1" t="s">
        <v>302</v>
      </c>
      <c r="C228">
        <v>40</v>
      </c>
      <c r="D228" s="1" t="s">
        <v>23</v>
      </c>
      <c r="E228" s="1" t="s">
        <v>27</v>
      </c>
      <c r="F228" s="1" t="s">
        <v>114</v>
      </c>
      <c r="G228" s="1" t="s">
        <v>104</v>
      </c>
      <c r="H228" s="1" t="s">
        <v>155</v>
      </c>
      <c r="I228">
        <v>1330</v>
      </c>
      <c r="J228">
        <v>3007</v>
      </c>
      <c r="K228">
        <v>1668</v>
      </c>
      <c r="L228">
        <v>2069</v>
      </c>
      <c r="M228">
        <v>8074</v>
      </c>
      <c r="N228" s="2">
        <v>45681</v>
      </c>
      <c r="O228" s="2">
        <v>45810</v>
      </c>
      <c r="P228" s="1" t="s">
        <v>14</v>
      </c>
      <c r="Q228" s="1" t="s">
        <v>21</v>
      </c>
      <c r="R228" s="1" t="s">
        <v>17</v>
      </c>
      <c r="S228">
        <v>803</v>
      </c>
      <c r="T228" s="1" t="s">
        <v>718</v>
      </c>
    </row>
    <row r="229" spans="1:20" x14ac:dyDescent="0.3">
      <c r="A229" s="1" t="s">
        <v>719</v>
      </c>
      <c r="B229" s="1" t="s">
        <v>432</v>
      </c>
      <c r="C229">
        <v>46</v>
      </c>
      <c r="D229" s="1" t="s">
        <v>23</v>
      </c>
      <c r="E229" s="1" t="s">
        <v>15</v>
      </c>
      <c r="F229" s="1" t="s">
        <v>109</v>
      </c>
      <c r="G229" s="1" t="s">
        <v>158</v>
      </c>
      <c r="H229" s="1" t="s">
        <v>155</v>
      </c>
      <c r="I229">
        <v>339</v>
      </c>
      <c r="J229">
        <v>2371</v>
      </c>
      <c r="K229">
        <v>2137</v>
      </c>
      <c r="L229">
        <v>12913</v>
      </c>
      <c r="M229">
        <v>17760</v>
      </c>
      <c r="N229" s="2">
        <v>45725</v>
      </c>
      <c r="O229" s="2">
        <v>45766</v>
      </c>
      <c r="P229" s="1" t="s">
        <v>34</v>
      </c>
      <c r="Q229" s="1" t="s">
        <v>21</v>
      </c>
      <c r="R229" s="1" t="s">
        <v>87</v>
      </c>
      <c r="S229">
        <v>766</v>
      </c>
      <c r="T229" s="1" t="s">
        <v>720</v>
      </c>
    </row>
    <row r="230" spans="1:20" x14ac:dyDescent="0.3">
      <c r="A230" s="1" t="s">
        <v>721</v>
      </c>
      <c r="B230" s="1" t="s">
        <v>370</v>
      </c>
      <c r="C230">
        <v>82</v>
      </c>
      <c r="D230" s="1" t="s">
        <v>12</v>
      </c>
      <c r="E230" s="1" t="s">
        <v>38</v>
      </c>
      <c r="F230" s="1" t="s">
        <v>103</v>
      </c>
      <c r="G230" s="1" t="s">
        <v>158</v>
      </c>
      <c r="H230" s="1" t="s">
        <v>29</v>
      </c>
      <c r="I230">
        <v>521</v>
      </c>
      <c r="J230">
        <v>661</v>
      </c>
      <c r="K230">
        <v>695</v>
      </c>
      <c r="L230">
        <v>12300</v>
      </c>
      <c r="M230">
        <v>14177</v>
      </c>
      <c r="N230" s="2">
        <v>45717</v>
      </c>
      <c r="O230" s="2">
        <v>45871</v>
      </c>
      <c r="P230" s="1" t="s">
        <v>116</v>
      </c>
      <c r="Q230" s="1" t="s">
        <v>21</v>
      </c>
      <c r="R230" s="1" t="s">
        <v>17</v>
      </c>
      <c r="S230">
        <v>818</v>
      </c>
      <c r="T230" s="1" t="s">
        <v>722</v>
      </c>
    </row>
    <row r="231" spans="1:20" x14ac:dyDescent="0.3">
      <c r="A231" s="1" t="s">
        <v>723</v>
      </c>
      <c r="B231" s="1" t="s">
        <v>724</v>
      </c>
      <c r="C231">
        <v>39</v>
      </c>
      <c r="D231" s="1" t="s">
        <v>12</v>
      </c>
      <c r="E231" s="1" t="s">
        <v>36</v>
      </c>
      <c r="F231" s="1" t="s">
        <v>114</v>
      </c>
      <c r="G231" s="1" t="s">
        <v>158</v>
      </c>
      <c r="H231" s="1" t="s">
        <v>165</v>
      </c>
      <c r="I231">
        <v>580</v>
      </c>
      <c r="J231">
        <v>3931</v>
      </c>
      <c r="K231">
        <v>7104</v>
      </c>
      <c r="L231">
        <v>2718</v>
      </c>
      <c r="M231">
        <v>14333</v>
      </c>
      <c r="N231" s="2">
        <v>45919</v>
      </c>
      <c r="O231" s="2">
        <v>45974</v>
      </c>
      <c r="P231" s="1" t="s">
        <v>35</v>
      </c>
      <c r="Q231" s="1" t="s">
        <v>16</v>
      </c>
      <c r="R231" s="1" t="s">
        <v>17</v>
      </c>
      <c r="S231">
        <v>303</v>
      </c>
      <c r="T231" s="1" t="s">
        <v>725</v>
      </c>
    </row>
    <row r="232" spans="1:20" x14ac:dyDescent="0.3">
      <c r="A232" s="1" t="s">
        <v>726</v>
      </c>
      <c r="B232" s="1" t="s">
        <v>108</v>
      </c>
      <c r="C232">
        <v>67</v>
      </c>
      <c r="D232" s="1" t="s">
        <v>23</v>
      </c>
      <c r="E232" s="1" t="s">
        <v>20</v>
      </c>
      <c r="F232" s="1" t="s">
        <v>97</v>
      </c>
      <c r="G232" s="1" t="s">
        <v>85</v>
      </c>
      <c r="H232" s="1" t="s">
        <v>199</v>
      </c>
      <c r="I232">
        <v>904</v>
      </c>
      <c r="J232">
        <v>1813</v>
      </c>
      <c r="K232">
        <v>622</v>
      </c>
      <c r="L232">
        <v>9980</v>
      </c>
      <c r="M232">
        <v>13319</v>
      </c>
      <c r="N232" s="2">
        <v>45912</v>
      </c>
      <c r="O232" s="2">
        <v>45764</v>
      </c>
      <c r="P232" s="1" t="s">
        <v>116</v>
      </c>
      <c r="Q232" s="1" t="s">
        <v>16</v>
      </c>
      <c r="R232" s="1" t="s">
        <v>22</v>
      </c>
      <c r="S232">
        <v>787</v>
      </c>
      <c r="T232" s="1" t="s">
        <v>727</v>
      </c>
    </row>
    <row r="233" spans="1:20" x14ac:dyDescent="0.3">
      <c r="A233" s="1" t="s">
        <v>728</v>
      </c>
      <c r="B233" s="1" t="s">
        <v>729</v>
      </c>
      <c r="C233">
        <v>64</v>
      </c>
      <c r="D233" s="1" t="s">
        <v>23</v>
      </c>
      <c r="E233" s="1" t="s">
        <v>27</v>
      </c>
      <c r="F233" s="1" t="s">
        <v>114</v>
      </c>
      <c r="G233" s="1" t="s">
        <v>158</v>
      </c>
      <c r="H233" s="1" t="s">
        <v>37</v>
      </c>
      <c r="I233">
        <v>507</v>
      </c>
      <c r="J233">
        <v>2596</v>
      </c>
      <c r="K233">
        <v>5578</v>
      </c>
      <c r="L233">
        <v>4787</v>
      </c>
      <c r="M233">
        <v>13468</v>
      </c>
      <c r="N233" s="2">
        <v>45891</v>
      </c>
      <c r="O233" s="2">
        <v>45809</v>
      </c>
      <c r="P233" s="1" t="s">
        <v>14</v>
      </c>
      <c r="Q233" s="1" t="s">
        <v>16</v>
      </c>
      <c r="R233" s="1" t="s">
        <v>22</v>
      </c>
      <c r="S233">
        <v>995</v>
      </c>
      <c r="T233" s="1" t="s">
        <v>730</v>
      </c>
    </row>
    <row r="234" spans="1:20" x14ac:dyDescent="0.3">
      <c r="A234" s="1" t="s">
        <v>731</v>
      </c>
      <c r="B234" s="1" t="s">
        <v>463</v>
      </c>
      <c r="C234">
        <v>41</v>
      </c>
      <c r="D234" s="1" t="s">
        <v>12</v>
      </c>
      <c r="E234" s="1" t="s">
        <v>20</v>
      </c>
      <c r="F234" s="1" t="s">
        <v>114</v>
      </c>
      <c r="G234" s="1" t="s">
        <v>91</v>
      </c>
      <c r="H234" s="1" t="s">
        <v>13</v>
      </c>
      <c r="I234">
        <v>393</v>
      </c>
      <c r="J234">
        <v>579</v>
      </c>
      <c r="K234">
        <v>7279</v>
      </c>
      <c r="L234">
        <v>3267</v>
      </c>
      <c r="M234">
        <v>11518</v>
      </c>
      <c r="N234" s="2">
        <v>45997</v>
      </c>
      <c r="O234" s="2">
        <v>45989</v>
      </c>
      <c r="P234" s="1" t="s">
        <v>25</v>
      </c>
      <c r="Q234" s="1" t="s">
        <v>9</v>
      </c>
      <c r="R234" s="1" t="s">
        <v>87</v>
      </c>
      <c r="S234">
        <v>374</v>
      </c>
      <c r="T234" s="1" t="s">
        <v>732</v>
      </c>
    </row>
    <row r="235" spans="1:20" x14ac:dyDescent="0.3">
      <c r="A235" s="1" t="s">
        <v>733</v>
      </c>
      <c r="B235" s="1" t="s">
        <v>734</v>
      </c>
      <c r="C235">
        <v>44</v>
      </c>
      <c r="D235" s="1" t="s">
        <v>23</v>
      </c>
      <c r="E235" s="1" t="s">
        <v>38</v>
      </c>
      <c r="F235" s="1" t="s">
        <v>114</v>
      </c>
      <c r="G235" s="1" t="s">
        <v>104</v>
      </c>
      <c r="H235" s="1" t="s">
        <v>155</v>
      </c>
      <c r="I235">
        <v>1119</v>
      </c>
      <c r="J235">
        <v>4239</v>
      </c>
      <c r="K235">
        <v>2526</v>
      </c>
      <c r="L235">
        <v>14692</v>
      </c>
      <c r="M235">
        <v>22576</v>
      </c>
      <c r="N235" s="2">
        <v>45855</v>
      </c>
      <c r="O235" s="2">
        <v>46011</v>
      </c>
      <c r="P235" s="1" t="s">
        <v>116</v>
      </c>
      <c r="Q235" s="1" t="s">
        <v>31</v>
      </c>
      <c r="R235" s="1" t="s">
        <v>22</v>
      </c>
      <c r="S235">
        <v>235</v>
      </c>
      <c r="T235" s="1" t="s">
        <v>735</v>
      </c>
    </row>
    <row r="236" spans="1:20" x14ac:dyDescent="0.3">
      <c r="A236" s="1" t="s">
        <v>736</v>
      </c>
      <c r="B236" s="1" t="s">
        <v>451</v>
      </c>
      <c r="C236">
        <v>14</v>
      </c>
      <c r="D236" s="1" t="s">
        <v>12</v>
      </c>
      <c r="E236" s="1" t="s">
        <v>27</v>
      </c>
      <c r="F236" s="1" t="s">
        <v>135</v>
      </c>
      <c r="G236" s="1" t="s">
        <v>125</v>
      </c>
      <c r="H236" s="1" t="s">
        <v>92</v>
      </c>
      <c r="I236">
        <v>671</v>
      </c>
      <c r="J236">
        <v>3610</v>
      </c>
      <c r="K236">
        <v>6682</v>
      </c>
      <c r="L236">
        <v>6875</v>
      </c>
      <c r="M236">
        <v>17838</v>
      </c>
      <c r="N236" s="2">
        <v>45971</v>
      </c>
      <c r="O236" s="2">
        <v>45672</v>
      </c>
      <c r="P236" s="1" t="s">
        <v>25</v>
      </c>
      <c r="Q236" s="1" t="s">
        <v>16</v>
      </c>
      <c r="R236" s="1" t="s">
        <v>17</v>
      </c>
      <c r="S236">
        <v>551</v>
      </c>
      <c r="T236" s="1" t="s">
        <v>737</v>
      </c>
    </row>
    <row r="237" spans="1:20" x14ac:dyDescent="0.3">
      <c r="A237" s="1" t="s">
        <v>738</v>
      </c>
      <c r="B237" s="1" t="s">
        <v>739</v>
      </c>
      <c r="C237">
        <v>84</v>
      </c>
      <c r="D237" s="1" t="s">
        <v>12</v>
      </c>
      <c r="E237" s="1" t="s">
        <v>38</v>
      </c>
      <c r="F237" s="1" t="s">
        <v>103</v>
      </c>
      <c r="G237" s="1" t="s">
        <v>104</v>
      </c>
      <c r="H237" s="1" t="s">
        <v>105</v>
      </c>
      <c r="I237">
        <v>992</v>
      </c>
      <c r="J237">
        <v>4752</v>
      </c>
      <c r="K237">
        <v>4585</v>
      </c>
      <c r="L237">
        <v>12276</v>
      </c>
      <c r="M237">
        <v>22605</v>
      </c>
      <c r="N237" s="2">
        <v>46016</v>
      </c>
      <c r="O237" s="2">
        <v>45974</v>
      </c>
      <c r="P237" s="1" t="s">
        <v>35</v>
      </c>
      <c r="Q237" s="1" t="s">
        <v>31</v>
      </c>
      <c r="R237" s="1" t="s">
        <v>17</v>
      </c>
      <c r="S237">
        <v>454</v>
      </c>
      <c r="T237" s="1" t="s">
        <v>740</v>
      </c>
    </row>
    <row r="238" spans="1:20" x14ac:dyDescent="0.3">
      <c r="A238" s="1" t="s">
        <v>741</v>
      </c>
      <c r="B238" s="1" t="s">
        <v>273</v>
      </c>
      <c r="C238">
        <v>72</v>
      </c>
      <c r="D238" s="1" t="s">
        <v>23</v>
      </c>
      <c r="E238" s="1" t="s">
        <v>20</v>
      </c>
      <c r="F238" s="1" t="s">
        <v>103</v>
      </c>
      <c r="G238" s="1" t="s">
        <v>85</v>
      </c>
      <c r="H238" s="1" t="s">
        <v>145</v>
      </c>
      <c r="I238">
        <v>1335</v>
      </c>
      <c r="J238">
        <v>4344</v>
      </c>
      <c r="K238">
        <v>7278</v>
      </c>
      <c r="L238">
        <v>9123</v>
      </c>
      <c r="M238">
        <v>22080</v>
      </c>
      <c r="N238" s="2">
        <v>45742</v>
      </c>
      <c r="O238" s="2">
        <v>45696</v>
      </c>
      <c r="P238" s="1" t="s">
        <v>116</v>
      </c>
      <c r="Q238" s="1" t="s">
        <v>21</v>
      </c>
      <c r="R238" s="1" t="s">
        <v>17</v>
      </c>
      <c r="S238">
        <v>151</v>
      </c>
      <c r="T238" s="1" t="s">
        <v>742</v>
      </c>
    </row>
    <row r="239" spans="1:20" x14ac:dyDescent="0.3">
      <c r="A239" s="1" t="s">
        <v>743</v>
      </c>
      <c r="B239" s="1" t="s">
        <v>744</v>
      </c>
      <c r="C239">
        <v>83</v>
      </c>
      <c r="D239" s="1" t="s">
        <v>12</v>
      </c>
      <c r="E239" s="1" t="s">
        <v>27</v>
      </c>
      <c r="F239" s="1" t="s">
        <v>120</v>
      </c>
      <c r="G239" s="1" t="s">
        <v>125</v>
      </c>
      <c r="H239" s="1" t="s">
        <v>105</v>
      </c>
      <c r="I239">
        <v>461</v>
      </c>
      <c r="J239">
        <v>4260</v>
      </c>
      <c r="K239">
        <v>3938</v>
      </c>
      <c r="L239">
        <v>14127</v>
      </c>
      <c r="M239">
        <v>22786</v>
      </c>
      <c r="N239" s="2">
        <v>45951</v>
      </c>
      <c r="O239" s="2">
        <v>45887</v>
      </c>
      <c r="P239" s="1" t="s">
        <v>35</v>
      </c>
      <c r="Q239" s="1" t="s">
        <v>21</v>
      </c>
      <c r="R239" s="1" t="s">
        <v>22</v>
      </c>
      <c r="S239">
        <v>609</v>
      </c>
      <c r="T239" s="1" t="s">
        <v>745</v>
      </c>
    </row>
    <row r="240" spans="1:20" x14ac:dyDescent="0.3">
      <c r="A240" s="1" t="s">
        <v>746</v>
      </c>
      <c r="B240" s="1" t="s">
        <v>747</v>
      </c>
      <c r="C240">
        <v>52</v>
      </c>
      <c r="D240" s="1" t="s">
        <v>12</v>
      </c>
      <c r="E240" s="1" t="s">
        <v>20</v>
      </c>
      <c r="F240" s="1" t="s">
        <v>103</v>
      </c>
      <c r="G240" s="1" t="s">
        <v>91</v>
      </c>
      <c r="H240" s="1" t="s">
        <v>18</v>
      </c>
      <c r="I240">
        <v>486</v>
      </c>
      <c r="J240">
        <v>2995</v>
      </c>
      <c r="K240">
        <v>7591</v>
      </c>
      <c r="L240">
        <v>9328</v>
      </c>
      <c r="M240">
        <v>20400</v>
      </c>
      <c r="N240" s="2">
        <v>45945</v>
      </c>
      <c r="O240" s="2">
        <v>45763</v>
      </c>
      <c r="P240" s="1" t="s">
        <v>116</v>
      </c>
      <c r="Q240" s="1" t="s">
        <v>16</v>
      </c>
      <c r="R240" s="1" t="s">
        <v>22</v>
      </c>
      <c r="S240">
        <v>964</v>
      </c>
      <c r="T240" s="1" t="s">
        <v>748</v>
      </c>
    </row>
    <row r="241" spans="1:20" x14ac:dyDescent="0.3">
      <c r="A241" s="1" t="s">
        <v>749</v>
      </c>
      <c r="B241" s="1" t="s">
        <v>750</v>
      </c>
      <c r="C241">
        <v>80</v>
      </c>
      <c r="D241" s="1" t="s">
        <v>12</v>
      </c>
      <c r="E241" s="1" t="s">
        <v>20</v>
      </c>
      <c r="F241" s="1" t="s">
        <v>97</v>
      </c>
      <c r="G241" s="1" t="s">
        <v>176</v>
      </c>
      <c r="H241" s="1" t="s">
        <v>92</v>
      </c>
      <c r="I241">
        <v>533</v>
      </c>
      <c r="J241">
        <v>1298</v>
      </c>
      <c r="K241">
        <v>6520</v>
      </c>
      <c r="L241">
        <v>11795</v>
      </c>
      <c r="M241">
        <v>20146</v>
      </c>
      <c r="N241" s="2">
        <v>45771</v>
      </c>
      <c r="O241" s="2">
        <v>45659</v>
      </c>
      <c r="P241" s="1" t="s">
        <v>177</v>
      </c>
      <c r="Q241" s="1" t="s">
        <v>21</v>
      </c>
      <c r="R241" s="1" t="s">
        <v>87</v>
      </c>
      <c r="S241">
        <v>634</v>
      </c>
      <c r="T241" s="1" t="s">
        <v>751</v>
      </c>
    </row>
    <row r="242" spans="1:20" x14ac:dyDescent="0.3">
      <c r="A242" s="1" t="s">
        <v>752</v>
      </c>
      <c r="B242" s="1" t="s">
        <v>753</v>
      </c>
      <c r="C242">
        <v>22</v>
      </c>
      <c r="D242" s="1" t="s">
        <v>12</v>
      </c>
      <c r="E242" s="1" t="s">
        <v>40</v>
      </c>
      <c r="F242" s="1" t="s">
        <v>109</v>
      </c>
      <c r="G242" s="1" t="s">
        <v>125</v>
      </c>
      <c r="H242" s="1" t="s">
        <v>199</v>
      </c>
      <c r="I242">
        <v>519</v>
      </c>
      <c r="J242">
        <v>2583</v>
      </c>
      <c r="K242">
        <v>5304</v>
      </c>
      <c r="L242">
        <v>4209</v>
      </c>
      <c r="M242">
        <v>12615</v>
      </c>
      <c r="N242" s="2">
        <v>45754</v>
      </c>
      <c r="O242" s="2">
        <v>45719</v>
      </c>
      <c r="P242" s="1" t="s">
        <v>93</v>
      </c>
      <c r="Q242" s="1" t="s">
        <v>31</v>
      </c>
      <c r="R242" s="1" t="s">
        <v>87</v>
      </c>
      <c r="S242">
        <v>446</v>
      </c>
      <c r="T242" s="1" t="s">
        <v>754</v>
      </c>
    </row>
    <row r="243" spans="1:20" x14ac:dyDescent="0.3">
      <c r="A243" s="1" t="s">
        <v>755</v>
      </c>
      <c r="B243" s="1" t="s">
        <v>67</v>
      </c>
      <c r="C243">
        <v>82</v>
      </c>
      <c r="D243" s="1" t="s">
        <v>23</v>
      </c>
      <c r="E243" s="1" t="s">
        <v>38</v>
      </c>
      <c r="F243" s="1" t="s">
        <v>135</v>
      </c>
      <c r="G243" s="1" t="s">
        <v>176</v>
      </c>
      <c r="H243" s="1" t="s">
        <v>92</v>
      </c>
      <c r="I243">
        <v>1332</v>
      </c>
      <c r="J243">
        <v>1602</v>
      </c>
      <c r="K243">
        <v>4386</v>
      </c>
      <c r="L243">
        <v>1071</v>
      </c>
      <c r="M243">
        <v>8391</v>
      </c>
      <c r="N243" s="2">
        <v>45929</v>
      </c>
      <c r="O243" s="2">
        <v>45682</v>
      </c>
      <c r="P243" s="1" t="s">
        <v>110</v>
      </c>
      <c r="Q243" s="1" t="s">
        <v>9</v>
      </c>
      <c r="R243" s="1" t="s">
        <v>87</v>
      </c>
      <c r="S243">
        <v>899</v>
      </c>
      <c r="T243" s="1" t="s">
        <v>756</v>
      </c>
    </row>
    <row r="244" spans="1:20" x14ac:dyDescent="0.3">
      <c r="A244" s="1" t="s">
        <v>757</v>
      </c>
      <c r="B244" s="1" t="s">
        <v>758</v>
      </c>
      <c r="C244">
        <v>23</v>
      </c>
      <c r="D244" s="1" t="s">
        <v>23</v>
      </c>
      <c r="E244" s="1" t="s">
        <v>36</v>
      </c>
      <c r="F244" s="1" t="s">
        <v>114</v>
      </c>
      <c r="G244" s="1" t="s">
        <v>125</v>
      </c>
      <c r="H244" s="1" t="s">
        <v>155</v>
      </c>
      <c r="I244">
        <v>959</v>
      </c>
      <c r="J244">
        <v>4629</v>
      </c>
      <c r="K244">
        <v>7520</v>
      </c>
      <c r="L244">
        <v>7302</v>
      </c>
      <c r="M244">
        <v>20410</v>
      </c>
      <c r="N244" s="2">
        <v>45872</v>
      </c>
      <c r="O244" s="2">
        <v>45969</v>
      </c>
      <c r="P244" s="1" t="s">
        <v>19</v>
      </c>
      <c r="Q244" s="1" t="s">
        <v>21</v>
      </c>
      <c r="R244" s="1" t="s">
        <v>17</v>
      </c>
      <c r="S244">
        <v>563</v>
      </c>
      <c r="T244" s="1" t="s">
        <v>759</v>
      </c>
    </row>
    <row r="245" spans="1:20" x14ac:dyDescent="0.3">
      <c r="A245" s="1" t="s">
        <v>760</v>
      </c>
      <c r="B245" s="1" t="s">
        <v>761</v>
      </c>
      <c r="C245">
        <v>53</v>
      </c>
      <c r="D245" s="1" t="s">
        <v>12</v>
      </c>
      <c r="E245" s="1" t="s">
        <v>15</v>
      </c>
      <c r="F245" s="1" t="s">
        <v>97</v>
      </c>
      <c r="G245" s="1" t="s">
        <v>104</v>
      </c>
      <c r="H245" s="1" t="s">
        <v>115</v>
      </c>
      <c r="I245">
        <v>711</v>
      </c>
      <c r="J245">
        <v>2217</v>
      </c>
      <c r="K245">
        <v>5413</v>
      </c>
      <c r="L245">
        <v>12704</v>
      </c>
      <c r="M245">
        <v>21045</v>
      </c>
      <c r="N245" s="2">
        <v>45806</v>
      </c>
      <c r="O245" s="2">
        <v>46009</v>
      </c>
      <c r="P245" s="1" t="s">
        <v>177</v>
      </c>
      <c r="Q245" s="1" t="s">
        <v>31</v>
      </c>
      <c r="R245" s="1" t="s">
        <v>87</v>
      </c>
      <c r="S245">
        <v>655</v>
      </c>
      <c r="T245" s="1" t="s">
        <v>762</v>
      </c>
    </row>
    <row r="246" spans="1:20" x14ac:dyDescent="0.3">
      <c r="A246" s="1" t="s">
        <v>763</v>
      </c>
      <c r="B246" s="1" t="s">
        <v>70</v>
      </c>
      <c r="C246">
        <v>46</v>
      </c>
      <c r="D246" s="1" t="s">
        <v>12</v>
      </c>
      <c r="E246" s="1" t="s">
        <v>33</v>
      </c>
      <c r="F246" s="1" t="s">
        <v>120</v>
      </c>
      <c r="G246" s="1" t="s">
        <v>104</v>
      </c>
      <c r="H246" s="1" t="s">
        <v>26</v>
      </c>
      <c r="I246">
        <v>1165</v>
      </c>
      <c r="J246">
        <v>604</v>
      </c>
      <c r="K246">
        <v>4582</v>
      </c>
      <c r="L246">
        <v>2744</v>
      </c>
      <c r="M246">
        <v>9095</v>
      </c>
      <c r="N246" s="2">
        <v>45670</v>
      </c>
      <c r="O246" s="2">
        <v>45853</v>
      </c>
      <c r="P246" s="1" t="s">
        <v>25</v>
      </c>
      <c r="Q246" s="1" t="s">
        <v>16</v>
      </c>
      <c r="R246" s="1" t="s">
        <v>22</v>
      </c>
      <c r="S246">
        <v>373</v>
      </c>
      <c r="T246" s="1" t="s">
        <v>764</v>
      </c>
    </row>
    <row r="247" spans="1:20" x14ac:dyDescent="0.3">
      <c r="A247" s="1" t="s">
        <v>765</v>
      </c>
      <c r="B247" s="1" t="s">
        <v>766</v>
      </c>
      <c r="C247">
        <v>33</v>
      </c>
      <c r="D247" s="1" t="s">
        <v>23</v>
      </c>
      <c r="E247" s="1" t="s">
        <v>40</v>
      </c>
      <c r="F247" s="1" t="s">
        <v>103</v>
      </c>
      <c r="G247" s="1" t="s">
        <v>104</v>
      </c>
      <c r="H247" s="1" t="s">
        <v>26</v>
      </c>
      <c r="I247">
        <v>717</v>
      </c>
      <c r="J247">
        <v>4933</v>
      </c>
      <c r="K247">
        <v>564</v>
      </c>
      <c r="L247">
        <v>6876</v>
      </c>
      <c r="M247">
        <v>13090</v>
      </c>
      <c r="N247" s="2">
        <v>45889</v>
      </c>
      <c r="O247" s="2">
        <v>45710</v>
      </c>
      <c r="P247" s="1" t="s">
        <v>136</v>
      </c>
      <c r="Q247" s="1" t="s">
        <v>9</v>
      </c>
      <c r="R247" s="1" t="s">
        <v>22</v>
      </c>
      <c r="S247">
        <v>623</v>
      </c>
      <c r="T247" s="1" t="s">
        <v>767</v>
      </c>
    </row>
    <row r="248" spans="1:20" x14ac:dyDescent="0.3">
      <c r="A248" s="1" t="s">
        <v>768</v>
      </c>
      <c r="B248" s="1" t="s">
        <v>769</v>
      </c>
      <c r="C248">
        <v>49</v>
      </c>
      <c r="D248" s="1" t="s">
        <v>12</v>
      </c>
      <c r="E248" s="1" t="s">
        <v>27</v>
      </c>
      <c r="F248" s="1" t="s">
        <v>120</v>
      </c>
      <c r="G248" s="1" t="s">
        <v>176</v>
      </c>
      <c r="H248" s="1" t="s">
        <v>186</v>
      </c>
      <c r="I248">
        <v>1430</v>
      </c>
      <c r="J248">
        <v>940</v>
      </c>
      <c r="K248">
        <v>406</v>
      </c>
      <c r="L248">
        <v>13184</v>
      </c>
      <c r="M248">
        <v>15960</v>
      </c>
      <c r="N248" s="2">
        <v>45786</v>
      </c>
      <c r="O248" s="2">
        <v>45761</v>
      </c>
      <c r="P248" s="1" t="s">
        <v>136</v>
      </c>
      <c r="Q248" s="1" t="s">
        <v>31</v>
      </c>
      <c r="R248" s="1" t="s">
        <v>87</v>
      </c>
      <c r="S248">
        <v>821</v>
      </c>
      <c r="T248" s="1" t="s">
        <v>770</v>
      </c>
    </row>
    <row r="249" spans="1:20" x14ac:dyDescent="0.3">
      <c r="A249" s="1" t="s">
        <v>771</v>
      </c>
      <c r="B249" s="1" t="s">
        <v>102</v>
      </c>
      <c r="C249">
        <v>70</v>
      </c>
      <c r="D249" s="1" t="s">
        <v>23</v>
      </c>
      <c r="E249" s="1" t="s">
        <v>24</v>
      </c>
      <c r="F249" s="1" t="s">
        <v>84</v>
      </c>
      <c r="G249" s="1" t="s">
        <v>125</v>
      </c>
      <c r="H249" s="1" t="s">
        <v>26</v>
      </c>
      <c r="I249">
        <v>1219</v>
      </c>
      <c r="J249">
        <v>1953</v>
      </c>
      <c r="K249">
        <v>5892</v>
      </c>
      <c r="L249">
        <v>2220</v>
      </c>
      <c r="M249">
        <v>11284</v>
      </c>
      <c r="N249" s="2">
        <v>45753</v>
      </c>
      <c r="O249" s="2">
        <v>45746</v>
      </c>
      <c r="P249" s="1" t="s">
        <v>110</v>
      </c>
      <c r="Q249" s="1" t="s">
        <v>16</v>
      </c>
      <c r="R249" s="1" t="s">
        <v>17</v>
      </c>
      <c r="S249">
        <v>385</v>
      </c>
      <c r="T249" s="1" t="s">
        <v>772</v>
      </c>
    </row>
    <row r="250" spans="1:20" x14ac:dyDescent="0.3">
      <c r="A250" s="1" t="s">
        <v>773</v>
      </c>
      <c r="B250" s="1" t="s">
        <v>774</v>
      </c>
      <c r="C250">
        <v>21</v>
      </c>
      <c r="D250" s="1" t="s">
        <v>12</v>
      </c>
      <c r="E250" s="1" t="s">
        <v>36</v>
      </c>
      <c r="F250" s="1" t="s">
        <v>103</v>
      </c>
      <c r="G250" s="1" t="s">
        <v>125</v>
      </c>
      <c r="H250" s="1" t="s">
        <v>186</v>
      </c>
      <c r="I250">
        <v>1255</v>
      </c>
      <c r="J250">
        <v>1768</v>
      </c>
      <c r="K250">
        <v>627</v>
      </c>
      <c r="L250">
        <v>3518</v>
      </c>
      <c r="M250">
        <v>7168</v>
      </c>
      <c r="N250" s="2">
        <v>45823</v>
      </c>
      <c r="O250" s="2">
        <v>45963</v>
      </c>
      <c r="P250" s="1" t="s">
        <v>34</v>
      </c>
      <c r="Q250" s="1" t="s">
        <v>21</v>
      </c>
      <c r="R250" s="1" t="s">
        <v>22</v>
      </c>
      <c r="S250">
        <v>902</v>
      </c>
      <c r="T250" s="1" t="s">
        <v>775</v>
      </c>
    </row>
    <row r="251" spans="1:20" x14ac:dyDescent="0.3">
      <c r="A251" s="1" t="s">
        <v>776</v>
      </c>
      <c r="B251" s="1" t="s">
        <v>777</v>
      </c>
      <c r="C251">
        <v>29</v>
      </c>
      <c r="D251" s="1" t="s">
        <v>23</v>
      </c>
      <c r="E251" s="1" t="s">
        <v>40</v>
      </c>
      <c r="F251" s="1" t="s">
        <v>114</v>
      </c>
      <c r="G251" s="1" t="s">
        <v>104</v>
      </c>
      <c r="H251" s="1" t="s">
        <v>145</v>
      </c>
      <c r="I251">
        <v>1151</v>
      </c>
      <c r="J251">
        <v>4948</v>
      </c>
      <c r="K251">
        <v>4699</v>
      </c>
      <c r="L251">
        <v>7609</v>
      </c>
      <c r="M251">
        <v>18407</v>
      </c>
      <c r="N251" s="2">
        <v>45705</v>
      </c>
      <c r="O251" s="2">
        <v>45836</v>
      </c>
      <c r="P251" s="1" t="s">
        <v>19</v>
      </c>
      <c r="Q251" s="1" t="s">
        <v>21</v>
      </c>
      <c r="R251" s="1" t="s">
        <v>17</v>
      </c>
      <c r="S251">
        <v>469</v>
      </c>
      <c r="T251" s="1" t="s">
        <v>778</v>
      </c>
    </row>
    <row r="252" spans="1:20" x14ac:dyDescent="0.3">
      <c r="A252" s="1" t="s">
        <v>779</v>
      </c>
      <c r="B252" s="1" t="s">
        <v>508</v>
      </c>
      <c r="C252">
        <v>68</v>
      </c>
      <c r="D252" s="1" t="s">
        <v>12</v>
      </c>
      <c r="E252" s="1" t="s">
        <v>33</v>
      </c>
      <c r="F252" s="1" t="s">
        <v>103</v>
      </c>
      <c r="G252" s="1" t="s">
        <v>104</v>
      </c>
      <c r="H252" s="1" t="s">
        <v>13</v>
      </c>
      <c r="I252">
        <v>1008</v>
      </c>
      <c r="J252">
        <v>4150</v>
      </c>
      <c r="K252">
        <v>2268</v>
      </c>
      <c r="L252">
        <v>11522</v>
      </c>
      <c r="M252">
        <v>18948</v>
      </c>
      <c r="N252" s="2">
        <v>45972</v>
      </c>
      <c r="O252" s="2">
        <v>45976</v>
      </c>
      <c r="P252" s="1" t="s">
        <v>19</v>
      </c>
      <c r="Q252" s="1" t="s">
        <v>21</v>
      </c>
      <c r="R252" s="1" t="s">
        <v>17</v>
      </c>
      <c r="S252">
        <v>915</v>
      </c>
      <c r="T252" s="1" t="s">
        <v>780</v>
      </c>
    </row>
    <row r="253" spans="1:20" x14ac:dyDescent="0.3">
      <c r="A253" s="1" t="s">
        <v>781</v>
      </c>
      <c r="B253" s="1" t="s">
        <v>214</v>
      </c>
      <c r="C253">
        <v>70</v>
      </c>
      <c r="D253" s="1" t="s">
        <v>12</v>
      </c>
      <c r="E253" s="1" t="s">
        <v>20</v>
      </c>
      <c r="F253" s="1" t="s">
        <v>103</v>
      </c>
      <c r="G253" s="1" t="s">
        <v>98</v>
      </c>
      <c r="H253" s="1" t="s">
        <v>99</v>
      </c>
      <c r="I253">
        <v>1353</v>
      </c>
      <c r="J253">
        <v>4667</v>
      </c>
      <c r="K253">
        <v>3950</v>
      </c>
      <c r="L253">
        <v>8975</v>
      </c>
      <c r="M253">
        <v>18945</v>
      </c>
      <c r="N253" s="2">
        <v>45680</v>
      </c>
      <c r="O253" s="2">
        <v>45809</v>
      </c>
      <c r="P253" s="1" t="s">
        <v>19</v>
      </c>
      <c r="Q253" s="1" t="s">
        <v>16</v>
      </c>
      <c r="R253" s="1" t="s">
        <v>22</v>
      </c>
      <c r="S253">
        <v>271</v>
      </c>
      <c r="T253" s="1" t="s">
        <v>782</v>
      </c>
    </row>
    <row r="254" spans="1:20" x14ac:dyDescent="0.3">
      <c r="A254" s="1" t="s">
        <v>783</v>
      </c>
      <c r="B254" s="1" t="s">
        <v>784</v>
      </c>
      <c r="C254">
        <v>1</v>
      </c>
      <c r="D254" s="1" t="s">
        <v>23</v>
      </c>
      <c r="E254" s="1" t="s">
        <v>15</v>
      </c>
      <c r="F254" s="1" t="s">
        <v>84</v>
      </c>
      <c r="G254" s="1" t="s">
        <v>158</v>
      </c>
      <c r="H254" s="1" t="s">
        <v>115</v>
      </c>
      <c r="I254">
        <v>1168</v>
      </c>
      <c r="J254">
        <v>1351</v>
      </c>
      <c r="K254">
        <v>1984</v>
      </c>
      <c r="L254">
        <v>9810</v>
      </c>
      <c r="M254">
        <v>14313</v>
      </c>
      <c r="N254" s="2">
        <v>46017</v>
      </c>
      <c r="O254" s="2">
        <v>45880</v>
      </c>
      <c r="P254" s="1" t="s">
        <v>35</v>
      </c>
      <c r="Q254" s="1" t="s">
        <v>9</v>
      </c>
      <c r="R254" s="1" t="s">
        <v>87</v>
      </c>
      <c r="S254">
        <v>439</v>
      </c>
      <c r="T254" s="1" t="s">
        <v>785</v>
      </c>
    </row>
    <row r="255" spans="1:20" x14ac:dyDescent="0.3">
      <c r="A255" s="1" t="s">
        <v>786</v>
      </c>
      <c r="B255" s="1" t="s">
        <v>787</v>
      </c>
      <c r="C255">
        <v>7</v>
      </c>
      <c r="D255" s="1" t="s">
        <v>23</v>
      </c>
      <c r="E255" s="1" t="s">
        <v>38</v>
      </c>
      <c r="F255" s="1" t="s">
        <v>124</v>
      </c>
      <c r="G255" s="1" t="s">
        <v>125</v>
      </c>
      <c r="H255" s="1" t="s">
        <v>37</v>
      </c>
      <c r="I255">
        <v>1477</v>
      </c>
      <c r="J255">
        <v>2364</v>
      </c>
      <c r="K255">
        <v>7762</v>
      </c>
      <c r="L255">
        <v>5237</v>
      </c>
      <c r="M255">
        <v>16840</v>
      </c>
      <c r="N255" s="2">
        <v>45866</v>
      </c>
      <c r="O255" s="2">
        <v>45856</v>
      </c>
      <c r="P255" s="1" t="s">
        <v>116</v>
      </c>
      <c r="Q255" s="1" t="s">
        <v>21</v>
      </c>
      <c r="R255" s="1" t="s">
        <v>22</v>
      </c>
      <c r="S255">
        <v>498</v>
      </c>
      <c r="T255" s="1" t="s">
        <v>788</v>
      </c>
    </row>
    <row r="256" spans="1:20" x14ac:dyDescent="0.3">
      <c r="A256" s="1" t="s">
        <v>789</v>
      </c>
      <c r="B256" s="1" t="s">
        <v>625</v>
      </c>
      <c r="C256">
        <v>1</v>
      </c>
      <c r="D256" s="1" t="s">
        <v>23</v>
      </c>
      <c r="E256" s="1" t="s">
        <v>24</v>
      </c>
      <c r="F256" s="1" t="s">
        <v>103</v>
      </c>
      <c r="G256" s="1" t="s">
        <v>91</v>
      </c>
      <c r="H256" s="1" t="s">
        <v>37</v>
      </c>
      <c r="I256">
        <v>1032</v>
      </c>
      <c r="J256">
        <v>4619</v>
      </c>
      <c r="K256">
        <v>1169</v>
      </c>
      <c r="L256">
        <v>5748</v>
      </c>
      <c r="M256">
        <v>12568</v>
      </c>
      <c r="N256" s="2">
        <v>46009</v>
      </c>
      <c r="O256" s="2">
        <v>45812</v>
      </c>
      <c r="P256" s="1" t="s">
        <v>136</v>
      </c>
      <c r="Q256" s="1" t="s">
        <v>9</v>
      </c>
      <c r="R256" s="1" t="s">
        <v>17</v>
      </c>
      <c r="S256">
        <v>504</v>
      </c>
      <c r="T256" s="1" t="s">
        <v>790</v>
      </c>
    </row>
    <row r="257" spans="1:20" x14ac:dyDescent="0.3">
      <c r="A257" s="1" t="s">
        <v>791</v>
      </c>
      <c r="B257" s="1" t="s">
        <v>792</v>
      </c>
      <c r="C257">
        <v>21</v>
      </c>
      <c r="D257" s="1" t="s">
        <v>23</v>
      </c>
      <c r="E257" s="1" t="s">
        <v>33</v>
      </c>
      <c r="F257" s="1" t="s">
        <v>109</v>
      </c>
      <c r="G257" s="1" t="s">
        <v>98</v>
      </c>
      <c r="H257" s="1" t="s">
        <v>155</v>
      </c>
      <c r="I257">
        <v>1417</v>
      </c>
      <c r="J257">
        <v>2916</v>
      </c>
      <c r="K257">
        <v>5494</v>
      </c>
      <c r="L257">
        <v>3360</v>
      </c>
      <c r="M257">
        <v>13187</v>
      </c>
      <c r="N257" s="2">
        <v>45810</v>
      </c>
      <c r="O257" s="2">
        <v>46004</v>
      </c>
      <c r="P257" s="1" t="s">
        <v>177</v>
      </c>
      <c r="Q257" s="1" t="s">
        <v>31</v>
      </c>
      <c r="R257" s="1" t="s">
        <v>22</v>
      </c>
      <c r="S257">
        <v>142</v>
      </c>
      <c r="T257" s="1" t="s">
        <v>793</v>
      </c>
    </row>
    <row r="258" spans="1:20" x14ac:dyDescent="0.3">
      <c r="A258" s="1" t="s">
        <v>794</v>
      </c>
      <c r="B258" s="1" t="s">
        <v>795</v>
      </c>
      <c r="C258">
        <v>51</v>
      </c>
      <c r="D258" s="1" t="s">
        <v>23</v>
      </c>
      <c r="E258" s="1" t="s">
        <v>15</v>
      </c>
      <c r="F258" s="1" t="s">
        <v>124</v>
      </c>
      <c r="G258" s="1" t="s">
        <v>85</v>
      </c>
      <c r="H258" s="1" t="s">
        <v>115</v>
      </c>
      <c r="I258">
        <v>1004</v>
      </c>
      <c r="J258">
        <v>2234</v>
      </c>
      <c r="K258">
        <v>3680</v>
      </c>
      <c r="L258">
        <v>11582</v>
      </c>
      <c r="M258">
        <v>18500</v>
      </c>
      <c r="N258" s="2">
        <v>45920</v>
      </c>
      <c r="O258" s="2">
        <v>45730</v>
      </c>
      <c r="P258" s="1" t="s">
        <v>25</v>
      </c>
      <c r="Q258" s="1" t="s">
        <v>21</v>
      </c>
      <c r="R258" s="1" t="s">
        <v>22</v>
      </c>
      <c r="S258">
        <v>217</v>
      </c>
      <c r="T258" s="1" t="s">
        <v>796</v>
      </c>
    </row>
    <row r="259" spans="1:20" x14ac:dyDescent="0.3">
      <c r="A259" s="1" t="s">
        <v>797</v>
      </c>
      <c r="B259" s="1" t="s">
        <v>242</v>
      </c>
      <c r="C259">
        <v>71</v>
      </c>
      <c r="D259" s="1" t="s">
        <v>12</v>
      </c>
      <c r="E259" s="1" t="s">
        <v>20</v>
      </c>
      <c r="F259" s="1" t="s">
        <v>114</v>
      </c>
      <c r="G259" s="1" t="s">
        <v>85</v>
      </c>
      <c r="H259" s="1" t="s">
        <v>26</v>
      </c>
      <c r="I259">
        <v>437</v>
      </c>
      <c r="J259">
        <v>2553</v>
      </c>
      <c r="K259">
        <v>1104</v>
      </c>
      <c r="L259">
        <v>4234</v>
      </c>
      <c r="M259">
        <v>8328</v>
      </c>
      <c r="N259" s="2">
        <v>45955</v>
      </c>
      <c r="O259" s="2">
        <v>45907</v>
      </c>
      <c r="P259" s="1" t="s">
        <v>177</v>
      </c>
      <c r="Q259" s="1" t="s">
        <v>31</v>
      </c>
      <c r="R259" s="1" t="s">
        <v>22</v>
      </c>
      <c r="S259">
        <v>391</v>
      </c>
      <c r="T259" s="1" t="s">
        <v>798</v>
      </c>
    </row>
    <row r="260" spans="1:20" x14ac:dyDescent="0.3">
      <c r="A260" s="1" t="s">
        <v>799</v>
      </c>
      <c r="B260" s="1" t="s">
        <v>800</v>
      </c>
      <c r="C260">
        <v>41</v>
      </c>
      <c r="D260" s="1" t="s">
        <v>12</v>
      </c>
      <c r="E260" s="1" t="s">
        <v>15</v>
      </c>
      <c r="F260" s="1" t="s">
        <v>135</v>
      </c>
      <c r="G260" s="1" t="s">
        <v>158</v>
      </c>
      <c r="H260" s="1" t="s">
        <v>186</v>
      </c>
      <c r="I260">
        <v>926</v>
      </c>
      <c r="J260">
        <v>1748</v>
      </c>
      <c r="K260">
        <v>4933</v>
      </c>
      <c r="L260">
        <v>10287</v>
      </c>
      <c r="M260">
        <v>17894</v>
      </c>
      <c r="N260" s="2">
        <v>45844</v>
      </c>
      <c r="O260" s="2">
        <v>45819</v>
      </c>
      <c r="P260" s="1" t="s">
        <v>93</v>
      </c>
      <c r="Q260" s="1" t="s">
        <v>21</v>
      </c>
      <c r="R260" s="1" t="s">
        <v>22</v>
      </c>
      <c r="S260">
        <v>904</v>
      </c>
      <c r="T260" s="1" t="s">
        <v>801</v>
      </c>
    </row>
    <row r="261" spans="1:20" x14ac:dyDescent="0.3">
      <c r="A261" s="1" t="s">
        <v>802</v>
      </c>
      <c r="B261" s="1" t="s">
        <v>803</v>
      </c>
      <c r="C261">
        <v>47</v>
      </c>
      <c r="D261" s="1" t="s">
        <v>23</v>
      </c>
      <c r="E261" s="1" t="s">
        <v>24</v>
      </c>
      <c r="F261" s="1" t="s">
        <v>97</v>
      </c>
      <c r="G261" s="1" t="s">
        <v>85</v>
      </c>
      <c r="H261" s="1" t="s">
        <v>215</v>
      </c>
      <c r="I261">
        <v>1247</v>
      </c>
      <c r="J261">
        <v>4148</v>
      </c>
      <c r="K261">
        <v>3238</v>
      </c>
      <c r="L261">
        <v>13693</v>
      </c>
      <c r="M261">
        <v>22326</v>
      </c>
      <c r="N261" s="2">
        <v>45814</v>
      </c>
      <c r="O261" s="2">
        <v>45907</v>
      </c>
      <c r="P261" s="1" t="s">
        <v>110</v>
      </c>
      <c r="Q261" s="1" t="s">
        <v>16</v>
      </c>
      <c r="R261" s="1" t="s">
        <v>17</v>
      </c>
      <c r="S261">
        <v>979</v>
      </c>
      <c r="T261" s="1" t="s">
        <v>804</v>
      </c>
    </row>
    <row r="262" spans="1:20" x14ac:dyDescent="0.3">
      <c r="A262" s="1" t="s">
        <v>805</v>
      </c>
      <c r="B262" s="1" t="s">
        <v>806</v>
      </c>
      <c r="C262">
        <v>26</v>
      </c>
      <c r="D262" s="1" t="s">
        <v>12</v>
      </c>
      <c r="E262" s="1" t="s">
        <v>40</v>
      </c>
      <c r="F262" s="1" t="s">
        <v>114</v>
      </c>
      <c r="G262" s="1" t="s">
        <v>158</v>
      </c>
      <c r="H262" s="1" t="s">
        <v>37</v>
      </c>
      <c r="I262">
        <v>338</v>
      </c>
      <c r="J262">
        <v>4654</v>
      </c>
      <c r="K262">
        <v>5474</v>
      </c>
      <c r="L262">
        <v>1511</v>
      </c>
      <c r="M262">
        <v>11977</v>
      </c>
      <c r="N262" s="2">
        <v>45955</v>
      </c>
      <c r="O262" s="2">
        <v>45954</v>
      </c>
      <c r="P262" s="1" t="s">
        <v>93</v>
      </c>
      <c r="Q262" s="1" t="s">
        <v>21</v>
      </c>
      <c r="R262" s="1" t="s">
        <v>87</v>
      </c>
      <c r="S262">
        <v>652</v>
      </c>
      <c r="T262" s="1" t="s">
        <v>807</v>
      </c>
    </row>
    <row r="263" spans="1:20" x14ac:dyDescent="0.3">
      <c r="A263" s="1" t="s">
        <v>808</v>
      </c>
      <c r="B263" s="1" t="s">
        <v>809</v>
      </c>
      <c r="C263">
        <v>51</v>
      </c>
      <c r="D263" s="1" t="s">
        <v>23</v>
      </c>
      <c r="E263" s="1" t="s">
        <v>33</v>
      </c>
      <c r="F263" s="1" t="s">
        <v>124</v>
      </c>
      <c r="G263" s="1" t="s">
        <v>104</v>
      </c>
      <c r="H263" s="1" t="s">
        <v>86</v>
      </c>
      <c r="I263">
        <v>1251</v>
      </c>
      <c r="J263">
        <v>4605</v>
      </c>
      <c r="K263">
        <v>4481</v>
      </c>
      <c r="L263">
        <v>2483</v>
      </c>
      <c r="M263">
        <v>12820</v>
      </c>
      <c r="N263" s="2">
        <v>45861</v>
      </c>
      <c r="O263" s="2">
        <v>45844</v>
      </c>
      <c r="P263" s="1" t="s">
        <v>110</v>
      </c>
      <c r="Q263" s="1" t="s">
        <v>31</v>
      </c>
      <c r="R263" s="1" t="s">
        <v>87</v>
      </c>
      <c r="S263">
        <v>800</v>
      </c>
      <c r="T263" s="1" t="s">
        <v>810</v>
      </c>
    </row>
    <row r="264" spans="1:20" x14ac:dyDescent="0.3">
      <c r="A264" s="1" t="s">
        <v>811</v>
      </c>
      <c r="B264" s="1" t="s">
        <v>812</v>
      </c>
      <c r="C264">
        <v>58</v>
      </c>
      <c r="D264" s="1" t="s">
        <v>23</v>
      </c>
      <c r="E264" s="1" t="s">
        <v>36</v>
      </c>
      <c r="F264" s="1" t="s">
        <v>109</v>
      </c>
      <c r="G264" s="1" t="s">
        <v>91</v>
      </c>
      <c r="H264" s="1" t="s">
        <v>86</v>
      </c>
      <c r="I264">
        <v>1290</v>
      </c>
      <c r="J264">
        <v>3439</v>
      </c>
      <c r="K264">
        <v>631</v>
      </c>
      <c r="L264">
        <v>4585</v>
      </c>
      <c r="M264">
        <v>9945</v>
      </c>
      <c r="N264" s="2">
        <v>45907</v>
      </c>
      <c r="O264" s="2">
        <v>45776</v>
      </c>
      <c r="P264" s="1" t="s">
        <v>35</v>
      </c>
      <c r="Q264" s="1" t="s">
        <v>31</v>
      </c>
      <c r="R264" s="1" t="s">
        <v>22</v>
      </c>
      <c r="S264">
        <v>784</v>
      </c>
      <c r="T264" s="1" t="s">
        <v>813</v>
      </c>
    </row>
    <row r="265" spans="1:20" x14ac:dyDescent="0.3">
      <c r="A265" s="1" t="s">
        <v>814</v>
      </c>
      <c r="B265" s="1" t="s">
        <v>687</v>
      </c>
      <c r="C265">
        <v>50</v>
      </c>
      <c r="D265" s="1" t="s">
        <v>12</v>
      </c>
      <c r="E265" s="1" t="s">
        <v>36</v>
      </c>
      <c r="F265" s="1" t="s">
        <v>135</v>
      </c>
      <c r="G265" s="1" t="s">
        <v>98</v>
      </c>
      <c r="H265" s="1" t="s">
        <v>29</v>
      </c>
      <c r="I265">
        <v>381</v>
      </c>
      <c r="J265">
        <v>3154</v>
      </c>
      <c r="K265">
        <v>1145</v>
      </c>
      <c r="L265">
        <v>12530</v>
      </c>
      <c r="M265">
        <v>17210</v>
      </c>
      <c r="N265" s="2">
        <v>45924</v>
      </c>
      <c r="O265" s="2">
        <v>45982</v>
      </c>
      <c r="P265" s="1" t="s">
        <v>14</v>
      </c>
      <c r="Q265" s="1" t="s">
        <v>31</v>
      </c>
      <c r="R265" s="1" t="s">
        <v>17</v>
      </c>
      <c r="S265">
        <v>769</v>
      </c>
      <c r="T265" s="1" t="s">
        <v>815</v>
      </c>
    </row>
    <row r="266" spans="1:20" x14ac:dyDescent="0.3">
      <c r="A266" s="1" t="s">
        <v>816</v>
      </c>
      <c r="B266" s="1" t="s">
        <v>102</v>
      </c>
      <c r="C266">
        <v>84</v>
      </c>
      <c r="D266" s="1" t="s">
        <v>23</v>
      </c>
      <c r="E266" s="1" t="s">
        <v>33</v>
      </c>
      <c r="F266" s="1" t="s">
        <v>124</v>
      </c>
      <c r="G266" s="1" t="s">
        <v>98</v>
      </c>
      <c r="H266" s="1" t="s">
        <v>155</v>
      </c>
      <c r="I266">
        <v>756</v>
      </c>
      <c r="J266">
        <v>4730</v>
      </c>
      <c r="K266">
        <v>3624</v>
      </c>
      <c r="L266">
        <v>6781</v>
      </c>
      <c r="M266">
        <v>15891</v>
      </c>
      <c r="N266" s="2">
        <v>45834</v>
      </c>
      <c r="O266" s="2">
        <v>45907</v>
      </c>
      <c r="P266" s="1" t="s">
        <v>116</v>
      </c>
      <c r="Q266" s="1" t="s">
        <v>31</v>
      </c>
      <c r="R266" s="1" t="s">
        <v>17</v>
      </c>
      <c r="S266">
        <v>269</v>
      </c>
      <c r="T266" s="1" t="s">
        <v>817</v>
      </c>
    </row>
    <row r="267" spans="1:20" x14ac:dyDescent="0.3">
      <c r="A267" s="1" t="s">
        <v>818</v>
      </c>
      <c r="B267" s="1" t="s">
        <v>819</v>
      </c>
      <c r="C267">
        <v>83</v>
      </c>
      <c r="D267" s="1" t="s">
        <v>12</v>
      </c>
      <c r="E267" s="1" t="s">
        <v>38</v>
      </c>
      <c r="F267" s="1" t="s">
        <v>84</v>
      </c>
      <c r="G267" s="1" t="s">
        <v>176</v>
      </c>
      <c r="H267" s="1" t="s">
        <v>86</v>
      </c>
      <c r="I267">
        <v>682</v>
      </c>
      <c r="J267">
        <v>1789</v>
      </c>
      <c r="K267">
        <v>3267</v>
      </c>
      <c r="L267">
        <v>10863</v>
      </c>
      <c r="M267">
        <v>16601</v>
      </c>
      <c r="N267" s="2">
        <v>45718</v>
      </c>
      <c r="O267" s="2">
        <v>45996</v>
      </c>
      <c r="P267" s="1" t="s">
        <v>19</v>
      </c>
      <c r="Q267" s="1" t="s">
        <v>21</v>
      </c>
      <c r="R267" s="1" t="s">
        <v>87</v>
      </c>
      <c r="S267">
        <v>216</v>
      </c>
      <c r="T267" s="1" t="s">
        <v>820</v>
      </c>
    </row>
    <row r="268" spans="1:20" x14ac:dyDescent="0.3">
      <c r="A268" s="1" t="s">
        <v>821</v>
      </c>
      <c r="B268" s="1" t="s">
        <v>822</v>
      </c>
      <c r="C268">
        <v>27</v>
      </c>
      <c r="D268" s="1" t="s">
        <v>23</v>
      </c>
      <c r="E268" s="1" t="s">
        <v>33</v>
      </c>
      <c r="F268" s="1" t="s">
        <v>120</v>
      </c>
      <c r="G268" s="1" t="s">
        <v>98</v>
      </c>
      <c r="H268" s="1" t="s">
        <v>18</v>
      </c>
      <c r="I268">
        <v>799</v>
      </c>
      <c r="J268">
        <v>853</v>
      </c>
      <c r="K268">
        <v>1347</v>
      </c>
      <c r="L268">
        <v>10396</v>
      </c>
      <c r="M268">
        <v>13395</v>
      </c>
      <c r="N268" s="2">
        <v>45961</v>
      </c>
      <c r="O268" s="2">
        <v>45740</v>
      </c>
      <c r="P268" s="1" t="s">
        <v>25</v>
      </c>
      <c r="Q268" s="1" t="s">
        <v>31</v>
      </c>
      <c r="R268" s="1" t="s">
        <v>22</v>
      </c>
      <c r="S268">
        <v>270</v>
      </c>
      <c r="T268" s="1" t="s">
        <v>823</v>
      </c>
    </row>
    <row r="269" spans="1:20" x14ac:dyDescent="0.3">
      <c r="A269" s="1" t="s">
        <v>824</v>
      </c>
      <c r="B269" s="1" t="s">
        <v>825</v>
      </c>
      <c r="C269">
        <v>52</v>
      </c>
      <c r="D269" s="1" t="s">
        <v>23</v>
      </c>
      <c r="E269" s="1" t="s">
        <v>38</v>
      </c>
      <c r="F269" s="1" t="s">
        <v>124</v>
      </c>
      <c r="G269" s="1" t="s">
        <v>98</v>
      </c>
      <c r="H269" s="1" t="s">
        <v>37</v>
      </c>
      <c r="I269">
        <v>743</v>
      </c>
      <c r="J269">
        <v>4179</v>
      </c>
      <c r="K269">
        <v>5268</v>
      </c>
      <c r="L269">
        <v>8723</v>
      </c>
      <c r="M269">
        <v>18913</v>
      </c>
      <c r="N269" s="2">
        <v>45904</v>
      </c>
      <c r="O269" s="2">
        <v>45745</v>
      </c>
      <c r="P269" s="1" t="s">
        <v>19</v>
      </c>
      <c r="Q269" s="1" t="s">
        <v>31</v>
      </c>
      <c r="R269" s="1" t="s">
        <v>87</v>
      </c>
      <c r="S269">
        <v>940</v>
      </c>
      <c r="T269" s="1" t="s">
        <v>826</v>
      </c>
    </row>
    <row r="270" spans="1:20" x14ac:dyDescent="0.3">
      <c r="A270" s="1" t="s">
        <v>827</v>
      </c>
      <c r="B270" s="1" t="s">
        <v>412</v>
      </c>
      <c r="C270">
        <v>85</v>
      </c>
      <c r="D270" s="1" t="s">
        <v>12</v>
      </c>
      <c r="E270" s="1" t="s">
        <v>33</v>
      </c>
      <c r="F270" s="1" t="s">
        <v>109</v>
      </c>
      <c r="G270" s="1" t="s">
        <v>85</v>
      </c>
      <c r="H270" s="1" t="s">
        <v>186</v>
      </c>
      <c r="I270">
        <v>1228</v>
      </c>
      <c r="J270">
        <v>1063</v>
      </c>
      <c r="K270">
        <v>2182</v>
      </c>
      <c r="L270">
        <v>7196</v>
      </c>
      <c r="M270">
        <v>11669</v>
      </c>
      <c r="N270" s="2">
        <v>45855</v>
      </c>
      <c r="O270" s="2">
        <v>45725</v>
      </c>
      <c r="P270" s="1" t="s">
        <v>35</v>
      </c>
      <c r="Q270" s="1" t="s">
        <v>9</v>
      </c>
      <c r="R270" s="1" t="s">
        <v>22</v>
      </c>
      <c r="S270">
        <v>720</v>
      </c>
      <c r="T270" s="1" t="s">
        <v>828</v>
      </c>
    </row>
    <row r="271" spans="1:20" x14ac:dyDescent="0.3">
      <c r="A271" s="1" t="s">
        <v>829</v>
      </c>
      <c r="B271" s="1" t="s">
        <v>227</v>
      </c>
      <c r="C271">
        <v>79</v>
      </c>
      <c r="D271" s="1" t="s">
        <v>23</v>
      </c>
      <c r="E271" s="1" t="s">
        <v>38</v>
      </c>
      <c r="F271" s="1" t="s">
        <v>114</v>
      </c>
      <c r="G271" s="1" t="s">
        <v>91</v>
      </c>
      <c r="H271" s="1" t="s">
        <v>37</v>
      </c>
      <c r="I271">
        <v>1287</v>
      </c>
      <c r="J271">
        <v>1567</v>
      </c>
      <c r="K271">
        <v>7689</v>
      </c>
      <c r="L271">
        <v>10887</v>
      </c>
      <c r="M271">
        <v>21430</v>
      </c>
      <c r="N271" s="2">
        <v>45934</v>
      </c>
      <c r="O271" s="2">
        <v>45658</v>
      </c>
      <c r="P271" s="1" t="s">
        <v>93</v>
      </c>
      <c r="Q271" s="1" t="s">
        <v>16</v>
      </c>
      <c r="R271" s="1" t="s">
        <v>87</v>
      </c>
      <c r="S271">
        <v>642</v>
      </c>
      <c r="T271" s="1" t="s">
        <v>830</v>
      </c>
    </row>
    <row r="272" spans="1:20" x14ac:dyDescent="0.3">
      <c r="A272" s="1" t="s">
        <v>831</v>
      </c>
      <c r="B272" s="1" t="s">
        <v>230</v>
      </c>
      <c r="C272">
        <v>49</v>
      </c>
      <c r="D272" s="1" t="s">
        <v>12</v>
      </c>
      <c r="E272" s="1" t="s">
        <v>38</v>
      </c>
      <c r="F272" s="1" t="s">
        <v>114</v>
      </c>
      <c r="G272" s="1" t="s">
        <v>91</v>
      </c>
      <c r="H272" s="1" t="s">
        <v>199</v>
      </c>
      <c r="I272">
        <v>574</v>
      </c>
      <c r="J272">
        <v>2585</v>
      </c>
      <c r="K272">
        <v>4208</v>
      </c>
      <c r="L272">
        <v>13547</v>
      </c>
      <c r="M272">
        <v>20914</v>
      </c>
      <c r="N272" s="2">
        <v>45777</v>
      </c>
      <c r="O272" s="2">
        <v>45700</v>
      </c>
      <c r="P272" s="1" t="s">
        <v>14</v>
      </c>
      <c r="Q272" s="1" t="s">
        <v>31</v>
      </c>
      <c r="R272" s="1" t="s">
        <v>22</v>
      </c>
      <c r="S272">
        <v>826</v>
      </c>
      <c r="T272" s="1" t="s">
        <v>832</v>
      </c>
    </row>
    <row r="273" spans="1:20" x14ac:dyDescent="0.3">
      <c r="A273" s="1" t="s">
        <v>833</v>
      </c>
      <c r="B273" s="1" t="s">
        <v>834</v>
      </c>
      <c r="C273">
        <v>67</v>
      </c>
      <c r="D273" s="1" t="s">
        <v>23</v>
      </c>
      <c r="E273" s="1" t="s">
        <v>36</v>
      </c>
      <c r="F273" s="1" t="s">
        <v>103</v>
      </c>
      <c r="G273" s="1" t="s">
        <v>91</v>
      </c>
      <c r="H273" s="1" t="s">
        <v>155</v>
      </c>
      <c r="I273">
        <v>720</v>
      </c>
      <c r="J273">
        <v>3087</v>
      </c>
      <c r="K273">
        <v>3649</v>
      </c>
      <c r="L273">
        <v>6935</v>
      </c>
      <c r="M273">
        <v>14391</v>
      </c>
      <c r="N273" s="2">
        <v>45712</v>
      </c>
      <c r="O273" s="2">
        <v>45737</v>
      </c>
      <c r="P273" s="1" t="s">
        <v>93</v>
      </c>
      <c r="Q273" s="1" t="s">
        <v>9</v>
      </c>
      <c r="R273" s="1" t="s">
        <v>87</v>
      </c>
      <c r="S273">
        <v>474</v>
      </c>
      <c r="T273" s="1" t="s">
        <v>835</v>
      </c>
    </row>
    <row r="274" spans="1:20" x14ac:dyDescent="0.3">
      <c r="A274" s="1" t="s">
        <v>836</v>
      </c>
      <c r="B274" s="1" t="s">
        <v>837</v>
      </c>
      <c r="C274">
        <v>27</v>
      </c>
      <c r="D274" s="1" t="s">
        <v>12</v>
      </c>
      <c r="E274" s="1" t="s">
        <v>15</v>
      </c>
      <c r="F274" s="1" t="s">
        <v>135</v>
      </c>
      <c r="G274" s="1" t="s">
        <v>176</v>
      </c>
      <c r="H274" s="1" t="s">
        <v>145</v>
      </c>
      <c r="I274">
        <v>1058</v>
      </c>
      <c r="J274">
        <v>4462</v>
      </c>
      <c r="K274">
        <v>2378</v>
      </c>
      <c r="L274">
        <v>6024</v>
      </c>
      <c r="M274">
        <v>13922</v>
      </c>
      <c r="N274" s="2">
        <v>45953</v>
      </c>
      <c r="O274" s="2">
        <v>45834</v>
      </c>
      <c r="P274" s="1" t="s">
        <v>93</v>
      </c>
      <c r="Q274" s="1" t="s">
        <v>16</v>
      </c>
      <c r="R274" s="1" t="s">
        <v>87</v>
      </c>
      <c r="S274">
        <v>335</v>
      </c>
      <c r="T274" s="1" t="s">
        <v>838</v>
      </c>
    </row>
    <row r="275" spans="1:20" x14ac:dyDescent="0.3">
      <c r="A275" s="1" t="s">
        <v>839</v>
      </c>
      <c r="B275" s="1" t="s">
        <v>840</v>
      </c>
      <c r="C275">
        <v>28</v>
      </c>
      <c r="D275" s="1" t="s">
        <v>12</v>
      </c>
      <c r="E275" s="1" t="s">
        <v>38</v>
      </c>
      <c r="F275" s="1" t="s">
        <v>97</v>
      </c>
      <c r="G275" s="1" t="s">
        <v>158</v>
      </c>
      <c r="H275" s="1" t="s">
        <v>29</v>
      </c>
      <c r="I275">
        <v>629</v>
      </c>
      <c r="J275">
        <v>3687</v>
      </c>
      <c r="K275">
        <v>5509</v>
      </c>
      <c r="L275">
        <v>1086</v>
      </c>
      <c r="M275">
        <v>10911</v>
      </c>
      <c r="N275" s="2">
        <v>45704</v>
      </c>
      <c r="O275" s="2">
        <v>45732</v>
      </c>
      <c r="P275" s="1" t="s">
        <v>116</v>
      </c>
      <c r="Q275" s="1" t="s">
        <v>16</v>
      </c>
      <c r="R275" s="1" t="s">
        <v>17</v>
      </c>
      <c r="S275">
        <v>327</v>
      </c>
      <c r="T275" s="1" t="s">
        <v>841</v>
      </c>
    </row>
    <row r="276" spans="1:20" x14ac:dyDescent="0.3">
      <c r="A276" s="1" t="s">
        <v>842</v>
      </c>
      <c r="B276" s="1" t="s">
        <v>843</v>
      </c>
      <c r="C276">
        <v>5</v>
      </c>
      <c r="D276" s="1" t="s">
        <v>12</v>
      </c>
      <c r="E276" s="1" t="s">
        <v>36</v>
      </c>
      <c r="F276" s="1" t="s">
        <v>120</v>
      </c>
      <c r="G276" s="1" t="s">
        <v>85</v>
      </c>
      <c r="H276" s="1" t="s">
        <v>26</v>
      </c>
      <c r="I276">
        <v>417</v>
      </c>
      <c r="J276">
        <v>1935</v>
      </c>
      <c r="K276">
        <v>5545</v>
      </c>
      <c r="L276">
        <v>9099</v>
      </c>
      <c r="M276">
        <v>16996</v>
      </c>
      <c r="N276" s="2">
        <v>45882</v>
      </c>
      <c r="O276" s="2">
        <v>45663</v>
      </c>
      <c r="P276" s="1" t="s">
        <v>19</v>
      </c>
      <c r="Q276" s="1" t="s">
        <v>16</v>
      </c>
      <c r="R276" s="1" t="s">
        <v>87</v>
      </c>
      <c r="S276">
        <v>622</v>
      </c>
      <c r="T276" s="1" t="s">
        <v>844</v>
      </c>
    </row>
    <row r="277" spans="1:20" x14ac:dyDescent="0.3">
      <c r="A277" s="1" t="s">
        <v>845</v>
      </c>
      <c r="B277" s="1" t="s">
        <v>494</v>
      </c>
      <c r="C277">
        <v>22</v>
      </c>
      <c r="D277" s="1" t="s">
        <v>23</v>
      </c>
      <c r="E277" s="1" t="s">
        <v>38</v>
      </c>
      <c r="F277" s="1" t="s">
        <v>97</v>
      </c>
      <c r="G277" s="1" t="s">
        <v>98</v>
      </c>
      <c r="H277" s="1" t="s">
        <v>105</v>
      </c>
      <c r="I277">
        <v>300</v>
      </c>
      <c r="J277">
        <v>1789</v>
      </c>
      <c r="K277">
        <v>1011</v>
      </c>
      <c r="L277">
        <v>5520</v>
      </c>
      <c r="M277">
        <v>8620</v>
      </c>
      <c r="N277" s="2">
        <v>45862</v>
      </c>
      <c r="O277" s="2">
        <v>45838</v>
      </c>
      <c r="P277" s="1" t="s">
        <v>93</v>
      </c>
      <c r="Q277" s="1" t="s">
        <v>31</v>
      </c>
      <c r="R277" s="1" t="s">
        <v>87</v>
      </c>
      <c r="S277">
        <v>115</v>
      </c>
      <c r="T277" s="1" t="s">
        <v>846</v>
      </c>
    </row>
    <row r="278" spans="1:20" x14ac:dyDescent="0.3">
      <c r="A278" s="1" t="s">
        <v>847</v>
      </c>
      <c r="B278" s="1" t="s">
        <v>787</v>
      </c>
      <c r="C278">
        <v>71</v>
      </c>
      <c r="D278" s="1" t="s">
        <v>12</v>
      </c>
      <c r="E278" s="1" t="s">
        <v>33</v>
      </c>
      <c r="F278" s="1" t="s">
        <v>97</v>
      </c>
      <c r="G278" s="1" t="s">
        <v>91</v>
      </c>
      <c r="H278" s="1" t="s">
        <v>99</v>
      </c>
      <c r="I278">
        <v>866</v>
      </c>
      <c r="J278">
        <v>2353</v>
      </c>
      <c r="K278">
        <v>5267</v>
      </c>
      <c r="L278">
        <v>4187</v>
      </c>
      <c r="M278">
        <v>12673</v>
      </c>
      <c r="N278" s="2">
        <v>45890</v>
      </c>
      <c r="O278" s="2">
        <v>45864</v>
      </c>
      <c r="P278" s="1" t="s">
        <v>136</v>
      </c>
      <c r="Q278" s="1" t="s">
        <v>31</v>
      </c>
      <c r="R278" s="1" t="s">
        <v>17</v>
      </c>
      <c r="S278">
        <v>618</v>
      </c>
      <c r="T278" s="1" t="s">
        <v>848</v>
      </c>
    </row>
    <row r="279" spans="1:20" x14ac:dyDescent="0.3">
      <c r="A279" s="1" t="s">
        <v>849</v>
      </c>
      <c r="B279" s="1" t="s">
        <v>850</v>
      </c>
      <c r="C279">
        <v>65</v>
      </c>
      <c r="D279" s="1" t="s">
        <v>12</v>
      </c>
      <c r="E279" s="1" t="s">
        <v>38</v>
      </c>
      <c r="F279" s="1" t="s">
        <v>97</v>
      </c>
      <c r="G279" s="1" t="s">
        <v>98</v>
      </c>
      <c r="H279" s="1" t="s">
        <v>13</v>
      </c>
      <c r="I279">
        <v>1351</v>
      </c>
      <c r="J279">
        <v>2611</v>
      </c>
      <c r="K279">
        <v>7477</v>
      </c>
      <c r="L279">
        <v>9813</v>
      </c>
      <c r="M279">
        <v>21252</v>
      </c>
      <c r="N279" s="2">
        <v>45952</v>
      </c>
      <c r="O279" s="2">
        <v>45786</v>
      </c>
      <c r="P279" s="1" t="s">
        <v>116</v>
      </c>
      <c r="Q279" s="1" t="s">
        <v>9</v>
      </c>
      <c r="R279" s="1" t="s">
        <v>22</v>
      </c>
      <c r="S279">
        <v>875</v>
      </c>
      <c r="T279" s="1" t="s">
        <v>851</v>
      </c>
    </row>
    <row r="280" spans="1:20" x14ac:dyDescent="0.3">
      <c r="A280" s="1" t="s">
        <v>852</v>
      </c>
      <c r="B280" s="1" t="s">
        <v>853</v>
      </c>
      <c r="C280">
        <v>76</v>
      </c>
      <c r="D280" s="1" t="s">
        <v>23</v>
      </c>
      <c r="E280" s="1" t="s">
        <v>20</v>
      </c>
      <c r="F280" s="1" t="s">
        <v>135</v>
      </c>
      <c r="G280" s="1" t="s">
        <v>125</v>
      </c>
      <c r="H280" s="1" t="s">
        <v>13</v>
      </c>
      <c r="I280">
        <v>828</v>
      </c>
      <c r="J280">
        <v>1053</v>
      </c>
      <c r="K280">
        <v>3434</v>
      </c>
      <c r="L280">
        <v>11381</v>
      </c>
      <c r="M280">
        <v>16696</v>
      </c>
      <c r="N280" s="2">
        <v>45770</v>
      </c>
      <c r="O280" s="2">
        <v>46004</v>
      </c>
      <c r="P280" s="1" t="s">
        <v>19</v>
      </c>
      <c r="Q280" s="1" t="s">
        <v>21</v>
      </c>
      <c r="R280" s="1" t="s">
        <v>87</v>
      </c>
      <c r="S280">
        <v>648</v>
      </c>
      <c r="T280" s="1" t="s">
        <v>854</v>
      </c>
    </row>
    <row r="281" spans="1:20" x14ac:dyDescent="0.3">
      <c r="A281" s="1" t="s">
        <v>855</v>
      </c>
      <c r="B281" s="1" t="s">
        <v>540</v>
      </c>
      <c r="C281">
        <v>37</v>
      </c>
      <c r="D281" s="1" t="s">
        <v>23</v>
      </c>
      <c r="E281" s="1" t="s">
        <v>36</v>
      </c>
      <c r="F281" s="1" t="s">
        <v>120</v>
      </c>
      <c r="G281" s="1" t="s">
        <v>85</v>
      </c>
      <c r="H281" s="1" t="s">
        <v>186</v>
      </c>
      <c r="I281">
        <v>455</v>
      </c>
      <c r="J281">
        <v>1962</v>
      </c>
      <c r="K281">
        <v>4203</v>
      </c>
      <c r="L281">
        <v>6142</v>
      </c>
      <c r="M281">
        <v>12762</v>
      </c>
      <c r="N281" s="2">
        <v>45839</v>
      </c>
      <c r="O281" s="2">
        <v>45769</v>
      </c>
      <c r="P281" s="1" t="s">
        <v>136</v>
      </c>
      <c r="Q281" s="1" t="s">
        <v>31</v>
      </c>
      <c r="R281" s="1" t="s">
        <v>17</v>
      </c>
      <c r="S281">
        <v>854</v>
      </c>
      <c r="T281" s="1" t="s">
        <v>856</v>
      </c>
    </row>
    <row r="282" spans="1:20" x14ac:dyDescent="0.3">
      <c r="A282" s="1" t="s">
        <v>857</v>
      </c>
      <c r="B282" s="1" t="s">
        <v>858</v>
      </c>
      <c r="C282">
        <v>34</v>
      </c>
      <c r="D282" s="1" t="s">
        <v>23</v>
      </c>
      <c r="E282" s="1" t="s">
        <v>27</v>
      </c>
      <c r="F282" s="1" t="s">
        <v>84</v>
      </c>
      <c r="G282" s="1" t="s">
        <v>98</v>
      </c>
      <c r="H282" s="1" t="s">
        <v>115</v>
      </c>
      <c r="I282">
        <v>811</v>
      </c>
      <c r="J282">
        <v>3416</v>
      </c>
      <c r="K282">
        <v>1577</v>
      </c>
      <c r="L282">
        <v>13762</v>
      </c>
      <c r="M282">
        <v>19566</v>
      </c>
      <c r="N282" s="2">
        <v>45712</v>
      </c>
      <c r="O282" s="2">
        <v>45719</v>
      </c>
      <c r="P282" s="1" t="s">
        <v>35</v>
      </c>
      <c r="Q282" s="1" t="s">
        <v>16</v>
      </c>
      <c r="R282" s="1" t="s">
        <v>87</v>
      </c>
      <c r="S282">
        <v>143</v>
      </c>
      <c r="T282" s="1" t="s">
        <v>859</v>
      </c>
    </row>
    <row r="283" spans="1:20" x14ac:dyDescent="0.3">
      <c r="A283" s="1" t="s">
        <v>860</v>
      </c>
      <c r="B283" s="1" t="s">
        <v>602</v>
      </c>
      <c r="C283">
        <v>80</v>
      </c>
      <c r="D283" s="1" t="s">
        <v>12</v>
      </c>
      <c r="E283" s="1" t="s">
        <v>15</v>
      </c>
      <c r="F283" s="1" t="s">
        <v>135</v>
      </c>
      <c r="G283" s="1" t="s">
        <v>158</v>
      </c>
      <c r="H283" s="1" t="s">
        <v>165</v>
      </c>
      <c r="I283">
        <v>1305</v>
      </c>
      <c r="J283">
        <v>1998</v>
      </c>
      <c r="K283">
        <v>6560</v>
      </c>
      <c r="L283">
        <v>9374</v>
      </c>
      <c r="M283">
        <v>19237</v>
      </c>
      <c r="N283" s="2">
        <v>45801</v>
      </c>
      <c r="O283" s="2">
        <v>45861</v>
      </c>
      <c r="P283" s="1" t="s">
        <v>19</v>
      </c>
      <c r="Q283" s="1" t="s">
        <v>9</v>
      </c>
      <c r="R283" s="1" t="s">
        <v>17</v>
      </c>
      <c r="S283">
        <v>653</v>
      </c>
      <c r="T283" s="1" t="s">
        <v>861</v>
      </c>
    </row>
    <row r="284" spans="1:20" x14ac:dyDescent="0.3">
      <c r="A284" s="1" t="s">
        <v>862</v>
      </c>
      <c r="B284" s="1" t="s">
        <v>687</v>
      </c>
      <c r="C284">
        <v>51</v>
      </c>
      <c r="D284" s="1" t="s">
        <v>23</v>
      </c>
      <c r="E284" s="1" t="s">
        <v>38</v>
      </c>
      <c r="F284" s="1" t="s">
        <v>135</v>
      </c>
      <c r="G284" s="1" t="s">
        <v>98</v>
      </c>
      <c r="H284" s="1" t="s">
        <v>13</v>
      </c>
      <c r="I284">
        <v>1361</v>
      </c>
      <c r="J284">
        <v>4268</v>
      </c>
      <c r="K284">
        <v>2885</v>
      </c>
      <c r="L284">
        <v>12292</v>
      </c>
      <c r="M284">
        <v>20806</v>
      </c>
      <c r="N284" s="2">
        <v>45662</v>
      </c>
      <c r="O284" s="2">
        <v>45664</v>
      </c>
      <c r="P284" s="1" t="s">
        <v>19</v>
      </c>
      <c r="Q284" s="1" t="s">
        <v>16</v>
      </c>
      <c r="R284" s="1" t="s">
        <v>17</v>
      </c>
      <c r="S284">
        <v>470</v>
      </c>
      <c r="T284" s="1" t="s">
        <v>863</v>
      </c>
    </row>
    <row r="285" spans="1:20" x14ac:dyDescent="0.3">
      <c r="A285" s="1" t="s">
        <v>864</v>
      </c>
      <c r="B285" s="1" t="s">
        <v>865</v>
      </c>
      <c r="C285">
        <v>71</v>
      </c>
      <c r="D285" s="1" t="s">
        <v>12</v>
      </c>
      <c r="E285" s="1" t="s">
        <v>38</v>
      </c>
      <c r="F285" s="1" t="s">
        <v>84</v>
      </c>
      <c r="G285" s="1" t="s">
        <v>104</v>
      </c>
      <c r="H285" s="1" t="s">
        <v>165</v>
      </c>
      <c r="I285">
        <v>1265</v>
      </c>
      <c r="J285">
        <v>3310</v>
      </c>
      <c r="K285">
        <v>3297</v>
      </c>
      <c r="L285">
        <v>4013</v>
      </c>
      <c r="M285">
        <v>11885</v>
      </c>
      <c r="N285" s="2">
        <v>45913</v>
      </c>
      <c r="O285" s="2">
        <v>45875</v>
      </c>
      <c r="P285" s="1" t="s">
        <v>19</v>
      </c>
      <c r="Q285" s="1" t="s">
        <v>21</v>
      </c>
      <c r="R285" s="1" t="s">
        <v>17</v>
      </c>
      <c r="S285">
        <v>974</v>
      </c>
      <c r="T285" s="1" t="s">
        <v>866</v>
      </c>
    </row>
    <row r="286" spans="1:20" x14ac:dyDescent="0.3">
      <c r="A286" s="1" t="s">
        <v>867</v>
      </c>
      <c r="B286" s="1" t="s">
        <v>868</v>
      </c>
      <c r="C286">
        <v>24</v>
      </c>
      <c r="D286" s="1" t="s">
        <v>23</v>
      </c>
      <c r="E286" s="1" t="s">
        <v>15</v>
      </c>
      <c r="F286" s="1" t="s">
        <v>84</v>
      </c>
      <c r="G286" s="1" t="s">
        <v>125</v>
      </c>
      <c r="H286" s="1" t="s">
        <v>13</v>
      </c>
      <c r="I286">
        <v>852</v>
      </c>
      <c r="J286">
        <v>2431</v>
      </c>
      <c r="K286">
        <v>4849</v>
      </c>
      <c r="L286">
        <v>8081</v>
      </c>
      <c r="M286">
        <v>16213</v>
      </c>
      <c r="N286" s="2">
        <v>45853</v>
      </c>
      <c r="O286" s="2">
        <v>45758</v>
      </c>
      <c r="P286" s="1" t="s">
        <v>25</v>
      </c>
      <c r="Q286" s="1" t="s">
        <v>16</v>
      </c>
      <c r="R286" s="1" t="s">
        <v>22</v>
      </c>
      <c r="S286">
        <v>531</v>
      </c>
      <c r="T286" s="1" t="s">
        <v>869</v>
      </c>
    </row>
    <row r="287" spans="1:20" x14ac:dyDescent="0.3">
      <c r="A287" s="1" t="s">
        <v>870</v>
      </c>
      <c r="B287" s="1" t="s">
        <v>871</v>
      </c>
      <c r="C287">
        <v>69</v>
      </c>
      <c r="D287" s="1" t="s">
        <v>12</v>
      </c>
      <c r="E287" s="1" t="s">
        <v>40</v>
      </c>
      <c r="F287" s="1" t="s">
        <v>135</v>
      </c>
      <c r="G287" s="1" t="s">
        <v>176</v>
      </c>
      <c r="H287" s="1" t="s">
        <v>26</v>
      </c>
      <c r="I287">
        <v>813</v>
      </c>
      <c r="J287">
        <v>890</v>
      </c>
      <c r="K287">
        <v>3563</v>
      </c>
      <c r="L287">
        <v>2621</v>
      </c>
      <c r="M287">
        <v>7887</v>
      </c>
      <c r="N287" s="2">
        <v>46011</v>
      </c>
      <c r="O287" s="2">
        <v>45741</v>
      </c>
      <c r="P287" s="1" t="s">
        <v>34</v>
      </c>
      <c r="Q287" s="1" t="s">
        <v>21</v>
      </c>
      <c r="R287" s="1" t="s">
        <v>17</v>
      </c>
      <c r="S287">
        <v>959</v>
      </c>
      <c r="T287" s="1" t="s">
        <v>872</v>
      </c>
    </row>
    <row r="288" spans="1:20" x14ac:dyDescent="0.3">
      <c r="A288" s="1" t="s">
        <v>873</v>
      </c>
      <c r="B288" s="1" t="s">
        <v>874</v>
      </c>
      <c r="C288">
        <v>43</v>
      </c>
      <c r="D288" s="1" t="s">
        <v>12</v>
      </c>
      <c r="E288" s="1" t="s">
        <v>40</v>
      </c>
      <c r="F288" s="1" t="s">
        <v>97</v>
      </c>
      <c r="G288" s="1" t="s">
        <v>98</v>
      </c>
      <c r="H288" s="1" t="s">
        <v>99</v>
      </c>
      <c r="I288">
        <v>1447</v>
      </c>
      <c r="J288">
        <v>2611</v>
      </c>
      <c r="K288">
        <v>3119</v>
      </c>
      <c r="L288">
        <v>1324</v>
      </c>
      <c r="M288">
        <v>8501</v>
      </c>
      <c r="N288" s="2">
        <v>45868</v>
      </c>
      <c r="O288" s="2">
        <v>45720</v>
      </c>
      <c r="P288" s="1" t="s">
        <v>177</v>
      </c>
      <c r="Q288" s="1" t="s">
        <v>31</v>
      </c>
      <c r="R288" s="1" t="s">
        <v>17</v>
      </c>
      <c r="S288">
        <v>463</v>
      </c>
      <c r="T288" s="1" t="s">
        <v>875</v>
      </c>
    </row>
    <row r="289" spans="1:20" x14ac:dyDescent="0.3">
      <c r="A289" s="1" t="s">
        <v>876</v>
      </c>
      <c r="B289" s="1" t="s">
        <v>877</v>
      </c>
      <c r="C289">
        <v>58</v>
      </c>
      <c r="D289" s="1" t="s">
        <v>23</v>
      </c>
      <c r="E289" s="1" t="s">
        <v>38</v>
      </c>
      <c r="F289" s="1" t="s">
        <v>120</v>
      </c>
      <c r="G289" s="1" t="s">
        <v>176</v>
      </c>
      <c r="H289" s="1" t="s">
        <v>26</v>
      </c>
      <c r="I289">
        <v>1249</v>
      </c>
      <c r="J289">
        <v>1686</v>
      </c>
      <c r="K289">
        <v>7412</v>
      </c>
      <c r="L289">
        <v>3745</v>
      </c>
      <c r="M289">
        <v>14092</v>
      </c>
      <c r="N289" s="2">
        <v>45985</v>
      </c>
      <c r="O289" s="2">
        <v>45830</v>
      </c>
      <c r="P289" s="1" t="s">
        <v>93</v>
      </c>
      <c r="Q289" s="1" t="s">
        <v>16</v>
      </c>
      <c r="R289" s="1" t="s">
        <v>22</v>
      </c>
      <c r="S289">
        <v>265</v>
      </c>
      <c r="T289" s="1" t="s">
        <v>878</v>
      </c>
    </row>
    <row r="290" spans="1:20" x14ac:dyDescent="0.3">
      <c r="A290" s="1" t="s">
        <v>879</v>
      </c>
      <c r="B290" s="1" t="s">
        <v>880</v>
      </c>
      <c r="C290">
        <v>41</v>
      </c>
      <c r="D290" s="1" t="s">
        <v>12</v>
      </c>
      <c r="E290" s="1" t="s">
        <v>38</v>
      </c>
      <c r="F290" s="1" t="s">
        <v>124</v>
      </c>
      <c r="G290" s="1" t="s">
        <v>85</v>
      </c>
      <c r="H290" s="1" t="s">
        <v>155</v>
      </c>
      <c r="I290">
        <v>855</v>
      </c>
      <c r="J290">
        <v>4144</v>
      </c>
      <c r="K290">
        <v>6697</v>
      </c>
      <c r="L290">
        <v>6950</v>
      </c>
      <c r="M290">
        <v>18646</v>
      </c>
      <c r="N290" s="2">
        <v>45958</v>
      </c>
      <c r="O290" s="2">
        <v>45924</v>
      </c>
      <c r="P290" s="1" t="s">
        <v>116</v>
      </c>
      <c r="Q290" s="1" t="s">
        <v>31</v>
      </c>
      <c r="R290" s="1" t="s">
        <v>22</v>
      </c>
      <c r="S290">
        <v>228</v>
      </c>
      <c r="T290" s="1" t="s">
        <v>881</v>
      </c>
    </row>
    <row r="291" spans="1:20" x14ac:dyDescent="0.3">
      <c r="A291" s="1" t="s">
        <v>882</v>
      </c>
      <c r="B291" s="1" t="s">
        <v>202</v>
      </c>
      <c r="C291">
        <v>11</v>
      </c>
      <c r="D291" s="1" t="s">
        <v>23</v>
      </c>
      <c r="E291" s="1" t="s">
        <v>38</v>
      </c>
      <c r="F291" s="1" t="s">
        <v>109</v>
      </c>
      <c r="G291" s="1" t="s">
        <v>98</v>
      </c>
      <c r="H291" s="1" t="s">
        <v>155</v>
      </c>
      <c r="I291">
        <v>510</v>
      </c>
      <c r="J291">
        <v>1282</v>
      </c>
      <c r="K291">
        <v>822</v>
      </c>
      <c r="L291">
        <v>8752</v>
      </c>
      <c r="M291">
        <v>11366</v>
      </c>
      <c r="N291" s="2">
        <v>45938</v>
      </c>
      <c r="O291" s="2">
        <v>45685</v>
      </c>
      <c r="P291" s="1" t="s">
        <v>34</v>
      </c>
      <c r="Q291" s="1" t="s">
        <v>16</v>
      </c>
      <c r="R291" s="1" t="s">
        <v>22</v>
      </c>
      <c r="S291">
        <v>368</v>
      </c>
      <c r="T291" s="1" t="s">
        <v>883</v>
      </c>
    </row>
    <row r="292" spans="1:20" x14ac:dyDescent="0.3">
      <c r="A292" s="1" t="s">
        <v>884</v>
      </c>
      <c r="B292" s="1" t="s">
        <v>885</v>
      </c>
      <c r="C292">
        <v>84</v>
      </c>
      <c r="D292" s="1" t="s">
        <v>12</v>
      </c>
      <c r="E292" s="1" t="s">
        <v>15</v>
      </c>
      <c r="F292" s="1" t="s">
        <v>124</v>
      </c>
      <c r="G292" s="1" t="s">
        <v>158</v>
      </c>
      <c r="H292" s="1" t="s">
        <v>105</v>
      </c>
      <c r="I292">
        <v>806</v>
      </c>
      <c r="J292">
        <v>2827</v>
      </c>
      <c r="K292">
        <v>3930</v>
      </c>
      <c r="L292">
        <v>11264</v>
      </c>
      <c r="M292">
        <v>18827</v>
      </c>
      <c r="N292" s="2">
        <v>45722</v>
      </c>
      <c r="O292" s="2">
        <v>45725</v>
      </c>
      <c r="P292" s="1" t="s">
        <v>110</v>
      </c>
      <c r="Q292" s="1" t="s">
        <v>16</v>
      </c>
      <c r="R292" s="1" t="s">
        <v>87</v>
      </c>
      <c r="S292">
        <v>465</v>
      </c>
      <c r="T292" s="1" t="s">
        <v>886</v>
      </c>
    </row>
    <row r="293" spans="1:20" x14ac:dyDescent="0.3">
      <c r="A293" s="1" t="s">
        <v>887</v>
      </c>
      <c r="B293" s="1" t="s">
        <v>432</v>
      </c>
      <c r="C293">
        <v>60</v>
      </c>
      <c r="D293" s="1" t="s">
        <v>12</v>
      </c>
      <c r="E293" s="1" t="s">
        <v>38</v>
      </c>
      <c r="F293" s="1" t="s">
        <v>135</v>
      </c>
      <c r="G293" s="1" t="s">
        <v>98</v>
      </c>
      <c r="H293" s="1" t="s">
        <v>86</v>
      </c>
      <c r="I293">
        <v>1404</v>
      </c>
      <c r="J293">
        <v>1950</v>
      </c>
      <c r="K293">
        <v>5140</v>
      </c>
      <c r="L293">
        <v>10790</v>
      </c>
      <c r="M293">
        <v>19284</v>
      </c>
      <c r="N293" s="2">
        <v>45891</v>
      </c>
      <c r="O293" s="2">
        <v>45981</v>
      </c>
      <c r="P293" s="1" t="s">
        <v>136</v>
      </c>
      <c r="Q293" s="1" t="s">
        <v>21</v>
      </c>
      <c r="R293" s="1" t="s">
        <v>17</v>
      </c>
      <c r="S293">
        <v>593</v>
      </c>
      <c r="T293" s="1" t="s">
        <v>888</v>
      </c>
    </row>
    <row r="294" spans="1:20" x14ac:dyDescent="0.3">
      <c r="A294" s="1" t="s">
        <v>889</v>
      </c>
      <c r="B294" s="1" t="s">
        <v>890</v>
      </c>
      <c r="C294">
        <v>57</v>
      </c>
      <c r="D294" s="1" t="s">
        <v>12</v>
      </c>
      <c r="E294" s="1" t="s">
        <v>20</v>
      </c>
      <c r="F294" s="1" t="s">
        <v>97</v>
      </c>
      <c r="G294" s="1" t="s">
        <v>91</v>
      </c>
      <c r="H294" s="1" t="s">
        <v>199</v>
      </c>
      <c r="I294">
        <v>832</v>
      </c>
      <c r="J294">
        <v>1775</v>
      </c>
      <c r="K294">
        <v>2786</v>
      </c>
      <c r="L294">
        <v>1172</v>
      </c>
      <c r="M294">
        <v>6565</v>
      </c>
      <c r="N294" s="2">
        <v>45658</v>
      </c>
      <c r="O294" s="2">
        <v>45925</v>
      </c>
      <c r="P294" s="1" t="s">
        <v>25</v>
      </c>
      <c r="Q294" s="1" t="s">
        <v>9</v>
      </c>
      <c r="R294" s="1" t="s">
        <v>87</v>
      </c>
      <c r="S294">
        <v>108</v>
      </c>
      <c r="T294" s="1" t="s">
        <v>891</v>
      </c>
    </row>
    <row r="295" spans="1:20" x14ac:dyDescent="0.3">
      <c r="A295" s="1" t="s">
        <v>892</v>
      </c>
      <c r="B295" s="1" t="s">
        <v>822</v>
      </c>
      <c r="C295">
        <v>39</v>
      </c>
      <c r="D295" s="1" t="s">
        <v>23</v>
      </c>
      <c r="E295" s="1" t="s">
        <v>38</v>
      </c>
      <c r="F295" s="1" t="s">
        <v>120</v>
      </c>
      <c r="G295" s="1" t="s">
        <v>125</v>
      </c>
      <c r="H295" s="1" t="s">
        <v>26</v>
      </c>
      <c r="I295">
        <v>773</v>
      </c>
      <c r="J295">
        <v>559</v>
      </c>
      <c r="K295">
        <v>4790</v>
      </c>
      <c r="L295">
        <v>7121</v>
      </c>
      <c r="M295">
        <v>13243</v>
      </c>
      <c r="N295" s="2">
        <v>45754</v>
      </c>
      <c r="O295" s="2">
        <v>45868</v>
      </c>
      <c r="P295" s="1" t="s">
        <v>110</v>
      </c>
      <c r="Q295" s="1" t="s">
        <v>31</v>
      </c>
      <c r="R295" s="1" t="s">
        <v>22</v>
      </c>
      <c r="S295">
        <v>832</v>
      </c>
      <c r="T295" s="1" t="s">
        <v>893</v>
      </c>
    </row>
    <row r="296" spans="1:20" x14ac:dyDescent="0.3">
      <c r="A296" s="1" t="s">
        <v>894</v>
      </c>
      <c r="B296" s="1" t="s">
        <v>895</v>
      </c>
      <c r="C296">
        <v>29</v>
      </c>
      <c r="D296" s="1" t="s">
        <v>12</v>
      </c>
      <c r="E296" s="1" t="s">
        <v>36</v>
      </c>
      <c r="F296" s="1" t="s">
        <v>114</v>
      </c>
      <c r="G296" s="1" t="s">
        <v>104</v>
      </c>
      <c r="H296" s="1" t="s">
        <v>199</v>
      </c>
      <c r="I296">
        <v>790</v>
      </c>
      <c r="J296">
        <v>4732</v>
      </c>
      <c r="K296">
        <v>6563</v>
      </c>
      <c r="L296">
        <v>14106</v>
      </c>
      <c r="M296">
        <v>26191</v>
      </c>
      <c r="N296" s="2">
        <v>45971</v>
      </c>
      <c r="O296" s="2">
        <v>46013</v>
      </c>
      <c r="P296" s="1" t="s">
        <v>14</v>
      </c>
      <c r="Q296" s="1" t="s">
        <v>21</v>
      </c>
      <c r="R296" s="1" t="s">
        <v>17</v>
      </c>
      <c r="S296">
        <v>292</v>
      </c>
      <c r="T296" s="1" t="s">
        <v>896</v>
      </c>
    </row>
    <row r="297" spans="1:20" x14ac:dyDescent="0.3">
      <c r="A297" s="1" t="s">
        <v>897</v>
      </c>
      <c r="B297" s="1" t="s">
        <v>898</v>
      </c>
      <c r="C297">
        <v>18</v>
      </c>
      <c r="D297" s="1" t="s">
        <v>12</v>
      </c>
      <c r="E297" s="1" t="s">
        <v>33</v>
      </c>
      <c r="F297" s="1" t="s">
        <v>114</v>
      </c>
      <c r="G297" s="1" t="s">
        <v>85</v>
      </c>
      <c r="H297" s="1" t="s">
        <v>92</v>
      </c>
      <c r="I297">
        <v>1227</v>
      </c>
      <c r="J297">
        <v>2729</v>
      </c>
      <c r="K297">
        <v>6038</v>
      </c>
      <c r="L297">
        <v>11203</v>
      </c>
      <c r="M297">
        <v>21197</v>
      </c>
      <c r="N297" s="2">
        <v>45909</v>
      </c>
      <c r="O297" s="2">
        <v>45754</v>
      </c>
      <c r="P297" s="1" t="s">
        <v>177</v>
      </c>
      <c r="Q297" s="1" t="s">
        <v>16</v>
      </c>
      <c r="R297" s="1" t="s">
        <v>87</v>
      </c>
      <c r="S297">
        <v>122</v>
      </c>
      <c r="T297" s="1" t="s">
        <v>899</v>
      </c>
    </row>
    <row r="298" spans="1:20" x14ac:dyDescent="0.3">
      <c r="A298" s="1" t="s">
        <v>900</v>
      </c>
      <c r="B298" s="1" t="s">
        <v>901</v>
      </c>
      <c r="C298">
        <v>35</v>
      </c>
      <c r="D298" s="1" t="s">
        <v>23</v>
      </c>
      <c r="E298" s="1" t="s">
        <v>38</v>
      </c>
      <c r="F298" s="1" t="s">
        <v>135</v>
      </c>
      <c r="G298" s="1" t="s">
        <v>91</v>
      </c>
      <c r="H298" s="1" t="s">
        <v>18</v>
      </c>
      <c r="I298">
        <v>776</v>
      </c>
      <c r="J298">
        <v>1238</v>
      </c>
      <c r="K298">
        <v>1534</v>
      </c>
      <c r="L298">
        <v>1241</v>
      </c>
      <c r="M298">
        <v>4789</v>
      </c>
      <c r="N298" s="2">
        <v>45910</v>
      </c>
      <c r="O298" s="2">
        <v>45769</v>
      </c>
      <c r="P298" s="1" t="s">
        <v>177</v>
      </c>
      <c r="Q298" s="1" t="s">
        <v>9</v>
      </c>
      <c r="R298" s="1" t="s">
        <v>17</v>
      </c>
      <c r="S298">
        <v>574</v>
      </c>
      <c r="T298" s="1" t="s">
        <v>902</v>
      </c>
    </row>
    <row r="299" spans="1:20" x14ac:dyDescent="0.3">
      <c r="A299" s="1" t="s">
        <v>903</v>
      </c>
      <c r="B299" s="1" t="s">
        <v>113</v>
      </c>
      <c r="C299">
        <v>11</v>
      </c>
      <c r="D299" s="1" t="s">
        <v>23</v>
      </c>
      <c r="E299" s="1" t="s">
        <v>38</v>
      </c>
      <c r="F299" s="1" t="s">
        <v>103</v>
      </c>
      <c r="G299" s="1" t="s">
        <v>176</v>
      </c>
      <c r="H299" s="1" t="s">
        <v>165</v>
      </c>
      <c r="I299">
        <v>1103</v>
      </c>
      <c r="J299">
        <v>1084</v>
      </c>
      <c r="K299">
        <v>4749</v>
      </c>
      <c r="L299">
        <v>8702</v>
      </c>
      <c r="M299">
        <v>15638</v>
      </c>
      <c r="N299" s="2">
        <v>45750</v>
      </c>
      <c r="O299" s="2">
        <v>45756</v>
      </c>
      <c r="P299" s="1" t="s">
        <v>14</v>
      </c>
      <c r="Q299" s="1" t="s">
        <v>16</v>
      </c>
      <c r="R299" s="1" t="s">
        <v>22</v>
      </c>
      <c r="S299">
        <v>886</v>
      </c>
      <c r="T299" s="1" t="s">
        <v>904</v>
      </c>
    </row>
    <row r="300" spans="1:20" x14ac:dyDescent="0.3">
      <c r="A300" s="1" t="s">
        <v>905</v>
      </c>
      <c r="B300" s="1" t="s">
        <v>906</v>
      </c>
      <c r="C300">
        <v>57</v>
      </c>
      <c r="D300" s="1" t="s">
        <v>23</v>
      </c>
      <c r="E300" s="1" t="s">
        <v>36</v>
      </c>
      <c r="F300" s="1" t="s">
        <v>103</v>
      </c>
      <c r="G300" s="1" t="s">
        <v>91</v>
      </c>
      <c r="H300" s="1" t="s">
        <v>115</v>
      </c>
      <c r="I300">
        <v>1243</v>
      </c>
      <c r="J300">
        <v>1269</v>
      </c>
      <c r="K300">
        <v>4569</v>
      </c>
      <c r="L300">
        <v>11911</v>
      </c>
      <c r="M300">
        <v>18992</v>
      </c>
      <c r="N300" s="2">
        <v>45764</v>
      </c>
      <c r="O300" s="2">
        <v>45900</v>
      </c>
      <c r="P300" s="1" t="s">
        <v>93</v>
      </c>
      <c r="Q300" s="1" t="s">
        <v>31</v>
      </c>
      <c r="R300" s="1" t="s">
        <v>87</v>
      </c>
      <c r="S300">
        <v>845</v>
      </c>
      <c r="T300" s="1" t="s">
        <v>907</v>
      </c>
    </row>
    <row r="301" spans="1:20" x14ac:dyDescent="0.3">
      <c r="A301" s="1" t="s">
        <v>908</v>
      </c>
      <c r="B301" s="1" t="s">
        <v>454</v>
      </c>
      <c r="C301">
        <v>16</v>
      </c>
      <c r="D301" s="1" t="s">
        <v>12</v>
      </c>
      <c r="E301" s="1" t="s">
        <v>40</v>
      </c>
      <c r="F301" s="1" t="s">
        <v>135</v>
      </c>
      <c r="G301" s="1" t="s">
        <v>104</v>
      </c>
      <c r="H301" s="1" t="s">
        <v>26</v>
      </c>
      <c r="I301">
        <v>706</v>
      </c>
      <c r="J301">
        <v>3452</v>
      </c>
      <c r="K301">
        <v>7570</v>
      </c>
      <c r="L301">
        <v>1853</v>
      </c>
      <c r="M301">
        <v>13581</v>
      </c>
      <c r="N301" s="2">
        <v>45999</v>
      </c>
      <c r="O301" s="2">
        <v>45769</v>
      </c>
      <c r="P301" s="1" t="s">
        <v>35</v>
      </c>
      <c r="Q301" s="1" t="s">
        <v>9</v>
      </c>
      <c r="R301" s="1" t="s">
        <v>17</v>
      </c>
      <c r="S301">
        <v>115</v>
      </c>
      <c r="T301" s="1" t="s">
        <v>909</v>
      </c>
    </row>
    <row r="302" spans="1:20" x14ac:dyDescent="0.3">
      <c r="A302" s="1" t="s">
        <v>910</v>
      </c>
      <c r="B302" s="1" t="s">
        <v>911</v>
      </c>
      <c r="C302">
        <v>16</v>
      </c>
      <c r="D302" s="1" t="s">
        <v>12</v>
      </c>
      <c r="E302" s="1" t="s">
        <v>40</v>
      </c>
      <c r="F302" s="1" t="s">
        <v>84</v>
      </c>
      <c r="G302" s="1" t="s">
        <v>85</v>
      </c>
      <c r="H302" s="1" t="s">
        <v>18</v>
      </c>
      <c r="I302">
        <v>386</v>
      </c>
      <c r="J302">
        <v>4393</v>
      </c>
      <c r="K302">
        <v>5939</v>
      </c>
      <c r="L302">
        <v>10768</v>
      </c>
      <c r="M302">
        <v>21486</v>
      </c>
      <c r="N302" s="2">
        <v>45737</v>
      </c>
      <c r="O302" s="2">
        <v>45848</v>
      </c>
      <c r="P302" s="1" t="s">
        <v>35</v>
      </c>
      <c r="Q302" s="1" t="s">
        <v>9</v>
      </c>
      <c r="R302" s="1" t="s">
        <v>22</v>
      </c>
      <c r="S302">
        <v>802</v>
      </c>
      <c r="T302" s="1" t="s">
        <v>912</v>
      </c>
    </row>
    <row r="303" spans="1:20" x14ac:dyDescent="0.3">
      <c r="A303" s="1" t="s">
        <v>913</v>
      </c>
      <c r="B303" s="1" t="s">
        <v>64</v>
      </c>
      <c r="C303">
        <v>8</v>
      </c>
      <c r="D303" s="1" t="s">
        <v>12</v>
      </c>
      <c r="E303" s="1" t="s">
        <v>27</v>
      </c>
      <c r="F303" s="1" t="s">
        <v>109</v>
      </c>
      <c r="G303" s="1" t="s">
        <v>104</v>
      </c>
      <c r="H303" s="1" t="s">
        <v>13</v>
      </c>
      <c r="I303">
        <v>557</v>
      </c>
      <c r="J303">
        <v>4496</v>
      </c>
      <c r="K303">
        <v>2206</v>
      </c>
      <c r="L303">
        <v>6189</v>
      </c>
      <c r="M303">
        <v>13448</v>
      </c>
      <c r="N303" s="2">
        <v>45943</v>
      </c>
      <c r="O303" s="2">
        <v>45988</v>
      </c>
      <c r="P303" s="1" t="s">
        <v>177</v>
      </c>
      <c r="Q303" s="1" t="s">
        <v>31</v>
      </c>
      <c r="R303" s="1" t="s">
        <v>22</v>
      </c>
      <c r="S303">
        <v>805</v>
      </c>
      <c r="T303" s="1" t="s">
        <v>914</v>
      </c>
    </row>
    <row r="304" spans="1:20" x14ac:dyDescent="0.3">
      <c r="A304" s="1" t="s">
        <v>915</v>
      </c>
      <c r="B304" s="1" t="s">
        <v>319</v>
      </c>
      <c r="C304">
        <v>33</v>
      </c>
      <c r="D304" s="1" t="s">
        <v>23</v>
      </c>
      <c r="E304" s="1" t="s">
        <v>15</v>
      </c>
      <c r="F304" s="1" t="s">
        <v>135</v>
      </c>
      <c r="G304" s="1" t="s">
        <v>98</v>
      </c>
      <c r="H304" s="1" t="s">
        <v>92</v>
      </c>
      <c r="I304">
        <v>1444</v>
      </c>
      <c r="J304">
        <v>2914</v>
      </c>
      <c r="K304">
        <v>4746</v>
      </c>
      <c r="L304">
        <v>12420</v>
      </c>
      <c r="M304">
        <v>21524</v>
      </c>
      <c r="N304" s="2">
        <v>45908</v>
      </c>
      <c r="O304" s="2">
        <v>45755</v>
      </c>
      <c r="P304" s="1" t="s">
        <v>136</v>
      </c>
      <c r="Q304" s="1" t="s">
        <v>21</v>
      </c>
      <c r="R304" s="1" t="s">
        <v>17</v>
      </c>
      <c r="S304">
        <v>849</v>
      </c>
      <c r="T304" s="1" t="s">
        <v>916</v>
      </c>
    </row>
    <row r="305" spans="1:20" x14ac:dyDescent="0.3">
      <c r="A305" s="1" t="s">
        <v>917</v>
      </c>
      <c r="B305" s="1" t="s">
        <v>441</v>
      </c>
      <c r="C305">
        <v>71</v>
      </c>
      <c r="D305" s="1" t="s">
        <v>23</v>
      </c>
      <c r="E305" s="1" t="s">
        <v>33</v>
      </c>
      <c r="F305" s="1" t="s">
        <v>114</v>
      </c>
      <c r="G305" s="1" t="s">
        <v>176</v>
      </c>
      <c r="H305" s="1" t="s">
        <v>86</v>
      </c>
      <c r="I305">
        <v>1220</v>
      </c>
      <c r="J305">
        <v>2922</v>
      </c>
      <c r="K305">
        <v>7012</v>
      </c>
      <c r="L305">
        <v>5314</v>
      </c>
      <c r="M305">
        <v>16468</v>
      </c>
      <c r="N305" s="2">
        <v>45935</v>
      </c>
      <c r="O305" s="2">
        <v>45845</v>
      </c>
      <c r="P305" s="1" t="s">
        <v>116</v>
      </c>
      <c r="Q305" s="1" t="s">
        <v>9</v>
      </c>
      <c r="R305" s="1" t="s">
        <v>87</v>
      </c>
      <c r="S305">
        <v>289</v>
      </c>
      <c r="T305" s="1" t="s">
        <v>918</v>
      </c>
    </row>
    <row r="306" spans="1:20" x14ac:dyDescent="0.3">
      <c r="A306" s="1" t="s">
        <v>919</v>
      </c>
      <c r="B306" s="1" t="s">
        <v>218</v>
      </c>
      <c r="C306">
        <v>47</v>
      </c>
      <c r="D306" s="1" t="s">
        <v>23</v>
      </c>
      <c r="E306" s="1" t="s">
        <v>15</v>
      </c>
      <c r="F306" s="1" t="s">
        <v>97</v>
      </c>
      <c r="G306" s="1" t="s">
        <v>98</v>
      </c>
      <c r="H306" s="1" t="s">
        <v>37</v>
      </c>
      <c r="I306">
        <v>1403</v>
      </c>
      <c r="J306">
        <v>3674</v>
      </c>
      <c r="K306">
        <v>1855</v>
      </c>
      <c r="L306">
        <v>9586</v>
      </c>
      <c r="M306">
        <v>16518</v>
      </c>
      <c r="N306" s="2">
        <v>46007</v>
      </c>
      <c r="O306" s="2">
        <v>45912</v>
      </c>
      <c r="P306" s="1" t="s">
        <v>110</v>
      </c>
      <c r="Q306" s="1" t="s">
        <v>21</v>
      </c>
      <c r="R306" s="1" t="s">
        <v>17</v>
      </c>
      <c r="S306">
        <v>519</v>
      </c>
      <c r="T306" s="1" t="s">
        <v>920</v>
      </c>
    </row>
    <row r="307" spans="1:20" x14ac:dyDescent="0.3">
      <c r="A307" s="1" t="s">
        <v>921</v>
      </c>
      <c r="B307" s="1" t="s">
        <v>70</v>
      </c>
      <c r="C307">
        <v>13</v>
      </c>
      <c r="D307" s="1" t="s">
        <v>23</v>
      </c>
      <c r="E307" s="1" t="s">
        <v>33</v>
      </c>
      <c r="F307" s="1" t="s">
        <v>103</v>
      </c>
      <c r="G307" s="1" t="s">
        <v>98</v>
      </c>
      <c r="H307" s="1" t="s">
        <v>86</v>
      </c>
      <c r="I307">
        <v>665</v>
      </c>
      <c r="J307">
        <v>756</v>
      </c>
      <c r="K307">
        <v>1955</v>
      </c>
      <c r="L307">
        <v>2753</v>
      </c>
      <c r="M307">
        <v>6129</v>
      </c>
      <c r="N307" s="2">
        <v>45906</v>
      </c>
      <c r="O307" s="2">
        <v>45756</v>
      </c>
      <c r="P307" s="1" t="s">
        <v>35</v>
      </c>
      <c r="Q307" s="1" t="s">
        <v>9</v>
      </c>
      <c r="R307" s="1" t="s">
        <v>87</v>
      </c>
      <c r="S307">
        <v>601</v>
      </c>
      <c r="T307" s="1" t="s">
        <v>922</v>
      </c>
    </row>
    <row r="308" spans="1:20" x14ac:dyDescent="0.3">
      <c r="A308" s="1" t="s">
        <v>923</v>
      </c>
      <c r="B308" s="1" t="s">
        <v>924</v>
      </c>
      <c r="C308">
        <v>33</v>
      </c>
      <c r="D308" s="1" t="s">
        <v>23</v>
      </c>
      <c r="E308" s="1" t="s">
        <v>27</v>
      </c>
      <c r="F308" s="1" t="s">
        <v>97</v>
      </c>
      <c r="G308" s="1" t="s">
        <v>176</v>
      </c>
      <c r="H308" s="1" t="s">
        <v>105</v>
      </c>
      <c r="I308">
        <v>445</v>
      </c>
      <c r="J308">
        <v>607</v>
      </c>
      <c r="K308">
        <v>7920</v>
      </c>
      <c r="L308">
        <v>4419</v>
      </c>
      <c r="M308">
        <v>13391</v>
      </c>
      <c r="N308" s="2">
        <v>45993</v>
      </c>
      <c r="O308" s="2">
        <v>45909</v>
      </c>
      <c r="P308" s="1" t="s">
        <v>35</v>
      </c>
      <c r="Q308" s="1" t="s">
        <v>16</v>
      </c>
      <c r="R308" s="1" t="s">
        <v>17</v>
      </c>
      <c r="S308">
        <v>671</v>
      </c>
      <c r="T308" s="1" t="s">
        <v>925</v>
      </c>
    </row>
    <row r="309" spans="1:20" x14ac:dyDescent="0.3">
      <c r="A309" s="1" t="s">
        <v>926</v>
      </c>
      <c r="B309" s="1" t="s">
        <v>475</v>
      </c>
      <c r="C309">
        <v>8</v>
      </c>
      <c r="D309" s="1" t="s">
        <v>12</v>
      </c>
      <c r="E309" s="1" t="s">
        <v>38</v>
      </c>
      <c r="F309" s="1" t="s">
        <v>103</v>
      </c>
      <c r="G309" s="1" t="s">
        <v>85</v>
      </c>
      <c r="H309" s="1" t="s">
        <v>37</v>
      </c>
      <c r="I309">
        <v>922</v>
      </c>
      <c r="J309">
        <v>1138</v>
      </c>
      <c r="K309">
        <v>2068</v>
      </c>
      <c r="L309">
        <v>9511</v>
      </c>
      <c r="M309">
        <v>13639</v>
      </c>
      <c r="N309" s="2">
        <v>45707</v>
      </c>
      <c r="O309" s="2">
        <v>45709</v>
      </c>
      <c r="P309" s="1" t="s">
        <v>19</v>
      </c>
      <c r="Q309" s="1" t="s">
        <v>31</v>
      </c>
      <c r="R309" s="1" t="s">
        <v>87</v>
      </c>
      <c r="S309">
        <v>772</v>
      </c>
      <c r="T309" s="1" t="s">
        <v>927</v>
      </c>
    </row>
    <row r="310" spans="1:20" x14ac:dyDescent="0.3">
      <c r="A310" s="1" t="s">
        <v>928</v>
      </c>
      <c r="B310" s="1" t="s">
        <v>281</v>
      </c>
      <c r="C310">
        <v>72</v>
      </c>
      <c r="D310" s="1" t="s">
        <v>12</v>
      </c>
      <c r="E310" s="1" t="s">
        <v>38</v>
      </c>
      <c r="F310" s="1" t="s">
        <v>114</v>
      </c>
      <c r="G310" s="1" t="s">
        <v>98</v>
      </c>
      <c r="H310" s="1" t="s">
        <v>99</v>
      </c>
      <c r="I310">
        <v>1239</v>
      </c>
      <c r="J310">
        <v>3998</v>
      </c>
      <c r="K310">
        <v>7532</v>
      </c>
      <c r="L310">
        <v>2705</v>
      </c>
      <c r="M310">
        <v>15474</v>
      </c>
      <c r="N310" s="2">
        <v>45743</v>
      </c>
      <c r="O310" s="2">
        <v>45750</v>
      </c>
      <c r="P310" s="1" t="s">
        <v>110</v>
      </c>
      <c r="Q310" s="1" t="s">
        <v>21</v>
      </c>
      <c r="R310" s="1" t="s">
        <v>87</v>
      </c>
      <c r="S310">
        <v>261</v>
      </c>
      <c r="T310" s="1" t="s">
        <v>929</v>
      </c>
    </row>
    <row r="311" spans="1:20" x14ac:dyDescent="0.3">
      <c r="A311" s="1" t="s">
        <v>930</v>
      </c>
      <c r="B311" s="1" t="s">
        <v>393</v>
      </c>
      <c r="C311">
        <v>46</v>
      </c>
      <c r="D311" s="1" t="s">
        <v>12</v>
      </c>
      <c r="E311" s="1" t="s">
        <v>40</v>
      </c>
      <c r="F311" s="1" t="s">
        <v>97</v>
      </c>
      <c r="G311" s="1" t="s">
        <v>125</v>
      </c>
      <c r="H311" s="1" t="s">
        <v>99</v>
      </c>
      <c r="I311">
        <v>1144</v>
      </c>
      <c r="J311">
        <v>4027</v>
      </c>
      <c r="K311">
        <v>7067</v>
      </c>
      <c r="L311">
        <v>12892</v>
      </c>
      <c r="M311">
        <v>25130</v>
      </c>
      <c r="N311" s="2">
        <v>45823</v>
      </c>
      <c r="O311" s="2">
        <v>45969</v>
      </c>
      <c r="P311" s="1" t="s">
        <v>19</v>
      </c>
      <c r="Q311" s="1" t="s">
        <v>21</v>
      </c>
      <c r="R311" s="1" t="s">
        <v>17</v>
      </c>
      <c r="S311">
        <v>563</v>
      </c>
      <c r="T311" s="1" t="s">
        <v>931</v>
      </c>
    </row>
    <row r="312" spans="1:20" x14ac:dyDescent="0.3">
      <c r="A312" s="1" t="s">
        <v>932</v>
      </c>
      <c r="B312" s="1" t="s">
        <v>933</v>
      </c>
      <c r="C312">
        <v>5</v>
      </c>
      <c r="D312" s="1" t="s">
        <v>12</v>
      </c>
      <c r="E312" s="1" t="s">
        <v>36</v>
      </c>
      <c r="F312" s="1" t="s">
        <v>103</v>
      </c>
      <c r="G312" s="1" t="s">
        <v>98</v>
      </c>
      <c r="H312" s="1" t="s">
        <v>86</v>
      </c>
      <c r="I312">
        <v>918</v>
      </c>
      <c r="J312">
        <v>553</v>
      </c>
      <c r="K312">
        <v>2760</v>
      </c>
      <c r="L312">
        <v>4635</v>
      </c>
      <c r="M312">
        <v>8866</v>
      </c>
      <c r="N312" s="2">
        <v>45767</v>
      </c>
      <c r="O312" s="2">
        <v>45819</v>
      </c>
      <c r="P312" s="1" t="s">
        <v>34</v>
      </c>
      <c r="Q312" s="1" t="s">
        <v>31</v>
      </c>
      <c r="R312" s="1" t="s">
        <v>22</v>
      </c>
      <c r="S312">
        <v>138</v>
      </c>
      <c r="T312" s="1" t="s">
        <v>934</v>
      </c>
    </row>
    <row r="313" spans="1:20" x14ac:dyDescent="0.3">
      <c r="A313" s="1" t="s">
        <v>935</v>
      </c>
      <c r="B313" s="1" t="s">
        <v>319</v>
      </c>
      <c r="C313">
        <v>18</v>
      </c>
      <c r="D313" s="1" t="s">
        <v>12</v>
      </c>
      <c r="E313" s="1" t="s">
        <v>40</v>
      </c>
      <c r="F313" s="1" t="s">
        <v>97</v>
      </c>
      <c r="G313" s="1" t="s">
        <v>104</v>
      </c>
      <c r="H313" s="1" t="s">
        <v>105</v>
      </c>
      <c r="I313">
        <v>777</v>
      </c>
      <c r="J313">
        <v>2599</v>
      </c>
      <c r="K313">
        <v>6944</v>
      </c>
      <c r="L313">
        <v>5920</v>
      </c>
      <c r="M313">
        <v>16240</v>
      </c>
      <c r="N313" s="2">
        <v>45705</v>
      </c>
      <c r="O313" s="2">
        <v>45950</v>
      </c>
      <c r="P313" s="1" t="s">
        <v>93</v>
      </c>
      <c r="Q313" s="1" t="s">
        <v>16</v>
      </c>
      <c r="R313" s="1" t="s">
        <v>87</v>
      </c>
      <c r="S313">
        <v>432</v>
      </c>
      <c r="T313" s="1" t="s">
        <v>936</v>
      </c>
    </row>
    <row r="314" spans="1:20" x14ac:dyDescent="0.3">
      <c r="A314" s="1" t="s">
        <v>937</v>
      </c>
      <c r="B314" s="1" t="s">
        <v>71</v>
      </c>
      <c r="C314">
        <v>63</v>
      </c>
      <c r="D314" s="1" t="s">
        <v>23</v>
      </c>
      <c r="E314" s="1" t="s">
        <v>38</v>
      </c>
      <c r="F314" s="1" t="s">
        <v>124</v>
      </c>
      <c r="G314" s="1" t="s">
        <v>125</v>
      </c>
      <c r="H314" s="1" t="s">
        <v>29</v>
      </c>
      <c r="I314">
        <v>1480</v>
      </c>
      <c r="J314">
        <v>3625</v>
      </c>
      <c r="K314">
        <v>942</v>
      </c>
      <c r="L314">
        <v>13781</v>
      </c>
      <c r="M314">
        <v>19828</v>
      </c>
      <c r="N314" s="2">
        <v>45686</v>
      </c>
      <c r="O314" s="2">
        <v>45829</v>
      </c>
      <c r="P314" s="1" t="s">
        <v>177</v>
      </c>
      <c r="Q314" s="1" t="s">
        <v>16</v>
      </c>
      <c r="R314" s="1" t="s">
        <v>22</v>
      </c>
      <c r="S314">
        <v>865</v>
      </c>
      <c r="T314" s="1" t="s">
        <v>938</v>
      </c>
    </row>
    <row r="315" spans="1:20" x14ac:dyDescent="0.3">
      <c r="A315" s="1" t="s">
        <v>939</v>
      </c>
      <c r="B315" s="1" t="s">
        <v>940</v>
      </c>
      <c r="C315">
        <v>82</v>
      </c>
      <c r="D315" s="1" t="s">
        <v>12</v>
      </c>
      <c r="E315" s="1" t="s">
        <v>40</v>
      </c>
      <c r="F315" s="1" t="s">
        <v>103</v>
      </c>
      <c r="G315" s="1" t="s">
        <v>85</v>
      </c>
      <c r="H315" s="1" t="s">
        <v>26</v>
      </c>
      <c r="I315">
        <v>1373</v>
      </c>
      <c r="J315">
        <v>837</v>
      </c>
      <c r="K315">
        <v>2915</v>
      </c>
      <c r="L315">
        <v>9846</v>
      </c>
      <c r="M315">
        <v>14971</v>
      </c>
      <c r="N315" s="2">
        <v>45947</v>
      </c>
      <c r="O315" s="2">
        <v>45734</v>
      </c>
      <c r="P315" s="1" t="s">
        <v>177</v>
      </c>
      <c r="Q315" s="1" t="s">
        <v>16</v>
      </c>
      <c r="R315" s="1" t="s">
        <v>87</v>
      </c>
      <c r="S315">
        <v>849</v>
      </c>
      <c r="T315" s="1" t="s">
        <v>941</v>
      </c>
    </row>
    <row r="316" spans="1:20" x14ac:dyDescent="0.3">
      <c r="A316" s="1" t="s">
        <v>942</v>
      </c>
      <c r="B316" s="1" t="s">
        <v>558</v>
      </c>
      <c r="C316">
        <v>74</v>
      </c>
      <c r="D316" s="1" t="s">
        <v>23</v>
      </c>
      <c r="E316" s="1" t="s">
        <v>33</v>
      </c>
      <c r="F316" s="1" t="s">
        <v>84</v>
      </c>
      <c r="G316" s="1" t="s">
        <v>98</v>
      </c>
      <c r="H316" s="1" t="s">
        <v>199</v>
      </c>
      <c r="I316">
        <v>893</v>
      </c>
      <c r="J316">
        <v>3730</v>
      </c>
      <c r="K316">
        <v>1512</v>
      </c>
      <c r="L316">
        <v>3165</v>
      </c>
      <c r="M316">
        <v>9300</v>
      </c>
      <c r="N316" s="2">
        <v>45830</v>
      </c>
      <c r="O316" s="2">
        <v>45700</v>
      </c>
      <c r="P316" s="1" t="s">
        <v>116</v>
      </c>
      <c r="Q316" s="1" t="s">
        <v>9</v>
      </c>
      <c r="R316" s="1" t="s">
        <v>17</v>
      </c>
      <c r="S316">
        <v>187</v>
      </c>
      <c r="T316" s="1" t="s">
        <v>943</v>
      </c>
    </row>
    <row r="317" spans="1:20" x14ac:dyDescent="0.3">
      <c r="A317" s="1" t="s">
        <v>944</v>
      </c>
      <c r="B317" s="1" t="s">
        <v>945</v>
      </c>
      <c r="C317">
        <v>17</v>
      </c>
      <c r="D317" s="1" t="s">
        <v>23</v>
      </c>
      <c r="E317" s="1" t="s">
        <v>40</v>
      </c>
      <c r="F317" s="1" t="s">
        <v>135</v>
      </c>
      <c r="G317" s="1" t="s">
        <v>85</v>
      </c>
      <c r="H317" s="1" t="s">
        <v>115</v>
      </c>
      <c r="I317">
        <v>1299</v>
      </c>
      <c r="J317">
        <v>3738</v>
      </c>
      <c r="K317">
        <v>5643</v>
      </c>
      <c r="L317">
        <v>10360</v>
      </c>
      <c r="M317">
        <v>21040</v>
      </c>
      <c r="N317" s="2">
        <v>45758</v>
      </c>
      <c r="O317" s="2">
        <v>45945</v>
      </c>
      <c r="P317" s="1" t="s">
        <v>136</v>
      </c>
      <c r="Q317" s="1" t="s">
        <v>16</v>
      </c>
      <c r="R317" s="1" t="s">
        <v>17</v>
      </c>
      <c r="S317">
        <v>895</v>
      </c>
      <c r="T317" s="1" t="s">
        <v>946</v>
      </c>
    </row>
    <row r="318" spans="1:20" x14ac:dyDescent="0.3">
      <c r="A318" s="1" t="s">
        <v>947</v>
      </c>
      <c r="B318" s="1" t="s">
        <v>948</v>
      </c>
      <c r="C318">
        <v>12</v>
      </c>
      <c r="D318" s="1" t="s">
        <v>23</v>
      </c>
      <c r="E318" s="1" t="s">
        <v>36</v>
      </c>
      <c r="F318" s="1" t="s">
        <v>120</v>
      </c>
      <c r="G318" s="1" t="s">
        <v>85</v>
      </c>
      <c r="H318" s="1" t="s">
        <v>199</v>
      </c>
      <c r="I318">
        <v>1048</v>
      </c>
      <c r="J318">
        <v>3353</v>
      </c>
      <c r="K318">
        <v>1860</v>
      </c>
      <c r="L318">
        <v>6254</v>
      </c>
      <c r="M318">
        <v>12515</v>
      </c>
      <c r="N318" s="2">
        <v>45834</v>
      </c>
      <c r="O318" s="2">
        <v>45962</v>
      </c>
      <c r="P318" s="1" t="s">
        <v>34</v>
      </c>
      <c r="Q318" s="1" t="s">
        <v>21</v>
      </c>
      <c r="R318" s="1" t="s">
        <v>87</v>
      </c>
      <c r="S318">
        <v>941</v>
      </c>
      <c r="T318" s="1" t="s">
        <v>949</v>
      </c>
    </row>
    <row r="319" spans="1:20" x14ac:dyDescent="0.3">
      <c r="A319" s="1" t="s">
        <v>950</v>
      </c>
      <c r="B319" s="1" t="s">
        <v>558</v>
      </c>
      <c r="C319">
        <v>19</v>
      </c>
      <c r="D319" s="1" t="s">
        <v>12</v>
      </c>
      <c r="E319" s="1" t="s">
        <v>40</v>
      </c>
      <c r="F319" s="1" t="s">
        <v>103</v>
      </c>
      <c r="G319" s="1" t="s">
        <v>98</v>
      </c>
      <c r="H319" s="1" t="s">
        <v>105</v>
      </c>
      <c r="I319">
        <v>708</v>
      </c>
      <c r="J319">
        <v>3562</v>
      </c>
      <c r="K319">
        <v>1577</v>
      </c>
      <c r="L319">
        <v>13414</v>
      </c>
      <c r="M319">
        <v>19261</v>
      </c>
      <c r="N319" s="2">
        <v>45701</v>
      </c>
      <c r="O319" s="2">
        <v>45715</v>
      </c>
      <c r="P319" s="1" t="s">
        <v>34</v>
      </c>
      <c r="Q319" s="1" t="s">
        <v>31</v>
      </c>
      <c r="R319" s="1" t="s">
        <v>17</v>
      </c>
      <c r="S319">
        <v>114</v>
      </c>
      <c r="T319" s="1" t="s">
        <v>951</v>
      </c>
    </row>
    <row r="320" spans="1:20" x14ac:dyDescent="0.3">
      <c r="A320" s="1" t="s">
        <v>952</v>
      </c>
      <c r="B320" s="1" t="s">
        <v>901</v>
      </c>
      <c r="C320">
        <v>58</v>
      </c>
      <c r="D320" s="1" t="s">
        <v>12</v>
      </c>
      <c r="E320" s="1" t="s">
        <v>27</v>
      </c>
      <c r="F320" s="1" t="s">
        <v>103</v>
      </c>
      <c r="G320" s="1" t="s">
        <v>98</v>
      </c>
      <c r="H320" s="1" t="s">
        <v>186</v>
      </c>
      <c r="I320">
        <v>728</v>
      </c>
      <c r="J320">
        <v>4907</v>
      </c>
      <c r="K320">
        <v>2035</v>
      </c>
      <c r="L320">
        <v>4339</v>
      </c>
      <c r="M320">
        <v>12009</v>
      </c>
      <c r="N320" s="2">
        <v>45937</v>
      </c>
      <c r="O320" s="2">
        <v>45925</v>
      </c>
      <c r="P320" s="1" t="s">
        <v>14</v>
      </c>
      <c r="Q320" s="1" t="s">
        <v>31</v>
      </c>
      <c r="R320" s="1" t="s">
        <v>87</v>
      </c>
      <c r="S320">
        <v>815</v>
      </c>
      <c r="T320" s="1" t="s">
        <v>953</v>
      </c>
    </row>
    <row r="321" spans="1:20" x14ac:dyDescent="0.3">
      <c r="A321" s="1" t="s">
        <v>954</v>
      </c>
      <c r="B321" s="1" t="s">
        <v>211</v>
      </c>
      <c r="C321">
        <v>75</v>
      </c>
      <c r="D321" s="1" t="s">
        <v>23</v>
      </c>
      <c r="E321" s="1" t="s">
        <v>33</v>
      </c>
      <c r="F321" s="1" t="s">
        <v>124</v>
      </c>
      <c r="G321" s="1" t="s">
        <v>125</v>
      </c>
      <c r="H321" s="1" t="s">
        <v>145</v>
      </c>
      <c r="I321">
        <v>423</v>
      </c>
      <c r="J321">
        <v>2826</v>
      </c>
      <c r="K321">
        <v>1944</v>
      </c>
      <c r="L321">
        <v>13930</v>
      </c>
      <c r="M321">
        <v>19123</v>
      </c>
      <c r="N321" s="2">
        <v>46014</v>
      </c>
      <c r="O321" s="2">
        <v>45974</v>
      </c>
      <c r="P321" s="1" t="s">
        <v>14</v>
      </c>
      <c r="Q321" s="1" t="s">
        <v>16</v>
      </c>
      <c r="R321" s="1" t="s">
        <v>22</v>
      </c>
      <c r="S321">
        <v>497</v>
      </c>
      <c r="T321" s="1" t="s">
        <v>955</v>
      </c>
    </row>
    <row r="322" spans="1:20" x14ac:dyDescent="0.3">
      <c r="A322" s="1" t="s">
        <v>956</v>
      </c>
      <c r="B322" s="1" t="s">
        <v>426</v>
      </c>
      <c r="C322">
        <v>14</v>
      </c>
      <c r="D322" s="1" t="s">
        <v>23</v>
      </c>
      <c r="E322" s="1" t="s">
        <v>24</v>
      </c>
      <c r="F322" s="1" t="s">
        <v>124</v>
      </c>
      <c r="G322" s="1" t="s">
        <v>85</v>
      </c>
      <c r="H322" s="1" t="s">
        <v>155</v>
      </c>
      <c r="I322">
        <v>773</v>
      </c>
      <c r="J322">
        <v>3618</v>
      </c>
      <c r="K322">
        <v>4465</v>
      </c>
      <c r="L322">
        <v>12627</v>
      </c>
      <c r="M322">
        <v>21483</v>
      </c>
      <c r="N322" s="2">
        <v>45708</v>
      </c>
      <c r="O322" s="2">
        <v>45819</v>
      </c>
      <c r="P322" s="1" t="s">
        <v>116</v>
      </c>
      <c r="Q322" s="1" t="s">
        <v>31</v>
      </c>
      <c r="R322" s="1" t="s">
        <v>87</v>
      </c>
      <c r="S322">
        <v>568</v>
      </c>
      <c r="T322" s="1" t="s">
        <v>957</v>
      </c>
    </row>
    <row r="323" spans="1:20" x14ac:dyDescent="0.3">
      <c r="A323" s="1" t="s">
        <v>958</v>
      </c>
      <c r="B323" s="1" t="s">
        <v>959</v>
      </c>
      <c r="C323">
        <v>32</v>
      </c>
      <c r="D323" s="1" t="s">
        <v>12</v>
      </c>
      <c r="E323" s="1" t="s">
        <v>36</v>
      </c>
      <c r="F323" s="1" t="s">
        <v>97</v>
      </c>
      <c r="G323" s="1" t="s">
        <v>85</v>
      </c>
      <c r="H323" s="1" t="s">
        <v>215</v>
      </c>
      <c r="I323">
        <v>1105</v>
      </c>
      <c r="J323">
        <v>1786</v>
      </c>
      <c r="K323">
        <v>450</v>
      </c>
      <c r="L323">
        <v>6681</v>
      </c>
      <c r="M323">
        <v>10022</v>
      </c>
      <c r="N323" s="2">
        <v>46008</v>
      </c>
      <c r="O323" s="2">
        <v>45838</v>
      </c>
      <c r="P323" s="1" t="s">
        <v>177</v>
      </c>
      <c r="Q323" s="1" t="s">
        <v>21</v>
      </c>
      <c r="R323" s="1" t="s">
        <v>22</v>
      </c>
      <c r="S323">
        <v>740</v>
      </c>
      <c r="T323" s="1" t="s">
        <v>960</v>
      </c>
    </row>
    <row r="324" spans="1:20" x14ac:dyDescent="0.3">
      <c r="A324" s="1" t="s">
        <v>961</v>
      </c>
      <c r="B324" s="1" t="s">
        <v>933</v>
      </c>
      <c r="C324">
        <v>72</v>
      </c>
      <c r="D324" s="1" t="s">
        <v>12</v>
      </c>
      <c r="E324" s="1" t="s">
        <v>40</v>
      </c>
      <c r="F324" s="1" t="s">
        <v>84</v>
      </c>
      <c r="G324" s="1" t="s">
        <v>125</v>
      </c>
      <c r="H324" s="1" t="s">
        <v>86</v>
      </c>
      <c r="I324">
        <v>999</v>
      </c>
      <c r="J324">
        <v>3718</v>
      </c>
      <c r="K324">
        <v>5681</v>
      </c>
      <c r="L324">
        <v>3248</v>
      </c>
      <c r="M324">
        <v>13646</v>
      </c>
      <c r="N324" s="2">
        <v>45702</v>
      </c>
      <c r="O324" s="2">
        <v>45853</v>
      </c>
      <c r="P324" s="1" t="s">
        <v>110</v>
      </c>
      <c r="Q324" s="1" t="s">
        <v>31</v>
      </c>
      <c r="R324" s="1" t="s">
        <v>87</v>
      </c>
      <c r="S324">
        <v>256</v>
      </c>
      <c r="T324" s="1" t="s">
        <v>962</v>
      </c>
    </row>
    <row r="325" spans="1:20" x14ac:dyDescent="0.3">
      <c r="A325" s="1" t="s">
        <v>963</v>
      </c>
      <c r="B325" s="1" t="s">
        <v>964</v>
      </c>
      <c r="C325">
        <v>43</v>
      </c>
      <c r="D325" s="1" t="s">
        <v>12</v>
      </c>
      <c r="E325" s="1" t="s">
        <v>15</v>
      </c>
      <c r="F325" s="1" t="s">
        <v>109</v>
      </c>
      <c r="G325" s="1" t="s">
        <v>125</v>
      </c>
      <c r="H325" s="1" t="s">
        <v>115</v>
      </c>
      <c r="I325">
        <v>583</v>
      </c>
      <c r="J325">
        <v>4934</v>
      </c>
      <c r="K325">
        <v>5903</v>
      </c>
      <c r="L325">
        <v>14108</v>
      </c>
      <c r="M325">
        <v>25528</v>
      </c>
      <c r="N325" s="2">
        <v>45761</v>
      </c>
      <c r="O325" s="2">
        <v>45728</v>
      </c>
      <c r="P325" s="1" t="s">
        <v>14</v>
      </c>
      <c r="Q325" s="1" t="s">
        <v>31</v>
      </c>
      <c r="R325" s="1" t="s">
        <v>87</v>
      </c>
      <c r="S325">
        <v>678</v>
      </c>
      <c r="T325" s="1" t="s">
        <v>965</v>
      </c>
    </row>
    <row r="326" spans="1:20" x14ac:dyDescent="0.3">
      <c r="A326" s="1" t="s">
        <v>966</v>
      </c>
      <c r="B326" s="1" t="s">
        <v>713</v>
      </c>
      <c r="C326">
        <v>9</v>
      </c>
      <c r="D326" s="1" t="s">
        <v>23</v>
      </c>
      <c r="E326" s="1" t="s">
        <v>27</v>
      </c>
      <c r="F326" s="1" t="s">
        <v>109</v>
      </c>
      <c r="G326" s="1" t="s">
        <v>104</v>
      </c>
      <c r="H326" s="1" t="s">
        <v>186</v>
      </c>
      <c r="I326">
        <v>598</v>
      </c>
      <c r="J326">
        <v>741</v>
      </c>
      <c r="K326">
        <v>6570</v>
      </c>
      <c r="L326">
        <v>6221</v>
      </c>
      <c r="M326">
        <v>14130</v>
      </c>
      <c r="N326" s="2">
        <v>45869</v>
      </c>
      <c r="O326" s="2">
        <v>45868</v>
      </c>
      <c r="P326" s="1" t="s">
        <v>14</v>
      </c>
      <c r="Q326" s="1" t="s">
        <v>21</v>
      </c>
      <c r="R326" s="1" t="s">
        <v>22</v>
      </c>
      <c r="S326">
        <v>897</v>
      </c>
      <c r="T326" s="1" t="s">
        <v>967</v>
      </c>
    </row>
    <row r="327" spans="1:20" x14ac:dyDescent="0.3">
      <c r="A327" s="1" t="s">
        <v>968</v>
      </c>
      <c r="B327" s="1" t="s">
        <v>429</v>
      </c>
      <c r="C327">
        <v>24</v>
      </c>
      <c r="D327" s="1" t="s">
        <v>23</v>
      </c>
      <c r="E327" s="1" t="s">
        <v>15</v>
      </c>
      <c r="F327" s="1" t="s">
        <v>124</v>
      </c>
      <c r="G327" s="1" t="s">
        <v>98</v>
      </c>
      <c r="H327" s="1" t="s">
        <v>105</v>
      </c>
      <c r="I327">
        <v>775</v>
      </c>
      <c r="J327">
        <v>2391</v>
      </c>
      <c r="K327">
        <v>5930</v>
      </c>
      <c r="L327">
        <v>1427</v>
      </c>
      <c r="M327">
        <v>10523</v>
      </c>
      <c r="N327" s="2">
        <v>45841</v>
      </c>
      <c r="O327" s="2">
        <v>45698</v>
      </c>
      <c r="P327" s="1" t="s">
        <v>116</v>
      </c>
      <c r="Q327" s="1" t="s">
        <v>9</v>
      </c>
      <c r="R327" s="1" t="s">
        <v>87</v>
      </c>
      <c r="S327">
        <v>765</v>
      </c>
      <c r="T327" s="1" t="s">
        <v>969</v>
      </c>
    </row>
    <row r="328" spans="1:20" x14ac:dyDescent="0.3">
      <c r="A328" s="1" t="s">
        <v>970</v>
      </c>
      <c r="B328" s="1" t="s">
        <v>971</v>
      </c>
      <c r="C328">
        <v>63</v>
      </c>
      <c r="D328" s="1" t="s">
        <v>12</v>
      </c>
      <c r="E328" s="1" t="s">
        <v>40</v>
      </c>
      <c r="F328" s="1" t="s">
        <v>109</v>
      </c>
      <c r="G328" s="1" t="s">
        <v>104</v>
      </c>
      <c r="H328" s="1" t="s">
        <v>145</v>
      </c>
      <c r="I328">
        <v>695</v>
      </c>
      <c r="J328">
        <v>2353</v>
      </c>
      <c r="K328">
        <v>564</v>
      </c>
      <c r="L328">
        <v>7694</v>
      </c>
      <c r="M328">
        <v>11306</v>
      </c>
      <c r="N328" s="2">
        <v>45665</v>
      </c>
      <c r="O328" s="2">
        <v>45796</v>
      </c>
      <c r="P328" s="1" t="s">
        <v>93</v>
      </c>
      <c r="Q328" s="1" t="s">
        <v>31</v>
      </c>
      <c r="R328" s="1" t="s">
        <v>22</v>
      </c>
      <c r="S328">
        <v>167</v>
      </c>
      <c r="T328" s="1" t="s">
        <v>972</v>
      </c>
    </row>
    <row r="329" spans="1:20" x14ac:dyDescent="0.3">
      <c r="A329" s="1" t="s">
        <v>973</v>
      </c>
      <c r="B329" s="1" t="s">
        <v>558</v>
      </c>
      <c r="C329">
        <v>63</v>
      </c>
      <c r="D329" s="1" t="s">
        <v>12</v>
      </c>
      <c r="E329" s="1" t="s">
        <v>38</v>
      </c>
      <c r="F329" s="1" t="s">
        <v>135</v>
      </c>
      <c r="G329" s="1" t="s">
        <v>98</v>
      </c>
      <c r="H329" s="1" t="s">
        <v>105</v>
      </c>
      <c r="I329">
        <v>1175</v>
      </c>
      <c r="J329">
        <v>3816</v>
      </c>
      <c r="K329">
        <v>6658</v>
      </c>
      <c r="L329">
        <v>1685</v>
      </c>
      <c r="M329">
        <v>13334</v>
      </c>
      <c r="N329" s="2">
        <v>45969</v>
      </c>
      <c r="O329" s="2">
        <v>45852</v>
      </c>
      <c r="P329" s="1" t="s">
        <v>177</v>
      </c>
      <c r="Q329" s="1" t="s">
        <v>16</v>
      </c>
      <c r="R329" s="1" t="s">
        <v>87</v>
      </c>
      <c r="S329">
        <v>211</v>
      </c>
      <c r="T329" s="1" t="s">
        <v>974</v>
      </c>
    </row>
    <row r="330" spans="1:20" x14ac:dyDescent="0.3">
      <c r="A330" s="1" t="s">
        <v>975</v>
      </c>
      <c r="B330" s="1" t="s">
        <v>69</v>
      </c>
      <c r="C330">
        <v>32</v>
      </c>
      <c r="D330" s="1" t="s">
        <v>12</v>
      </c>
      <c r="E330" s="1" t="s">
        <v>36</v>
      </c>
      <c r="F330" s="1" t="s">
        <v>103</v>
      </c>
      <c r="G330" s="1" t="s">
        <v>125</v>
      </c>
      <c r="H330" s="1" t="s">
        <v>155</v>
      </c>
      <c r="I330">
        <v>1357</v>
      </c>
      <c r="J330">
        <v>903</v>
      </c>
      <c r="K330">
        <v>1855</v>
      </c>
      <c r="L330">
        <v>5770</v>
      </c>
      <c r="M330">
        <v>9885</v>
      </c>
      <c r="N330" s="2">
        <v>45883</v>
      </c>
      <c r="O330" s="2">
        <v>45861</v>
      </c>
      <c r="P330" s="1" t="s">
        <v>14</v>
      </c>
      <c r="Q330" s="1" t="s">
        <v>31</v>
      </c>
      <c r="R330" s="1" t="s">
        <v>17</v>
      </c>
      <c r="S330">
        <v>401</v>
      </c>
      <c r="T330" s="1" t="s">
        <v>976</v>
      </c>
    </row>
    <row r="331" spans="1:20" x14ac:dyDescent="0.3">
      <c r="A331" s="1" t="s">
        <v>977</v>
      </c>
      <c r="B331" s="1" t="s">
        <v>978</v>
      </c>
      <c r="C331">
        <v>19</v>
      </c>
      <c r="D331" s="1" t="s">
        <v>12</v>
      </c>
      <c r="E331" s="1" t="s">
        <v>15</v>
      </c>
      <c r="F331" s="1" t="s">
        <v>135</v>
      </c>
      <c r="G331" s="1" t="s">
        <v>125</v>
      </c>
      <c r="H331" s="1" t="s">
        <v>37</v>
      </c>
      <c r="I331">
        <v>1325</v>
      </c>
      <c r="J331">
        <v>1427</v>
      </c>
      <c r="K331">
        <v>1772</v>
      </c>
      <c r="L331">
        <v>13758</v>
      </c>
      <c r="M331">
        <v>18282</v>
      </c>
      <c r="N331" s="2">
        <v>45957</v>
      </c>
      <c r="O331" s="2">
        <v>46014</v>
      </c>
      <c r="P331" s="1" t="s">
        <v>110</v>
      </c>
      <c r="Q331" s="1" t="s">
        <v>9</v>
      </c>
      <c r="R331" s="1" t="s">
        <v>17</v>
      </c>
      <c r="S331">
        <v>561</v>
      </c>
      <c r="T331" s="1" t="s">
        <v>979</v>
      </c>
    </row>
    <row r="332" spans="1:20" x14ac:dyDescent="0.3">
      <c r="A332" s="1" t="s">
        <v>980</v>
      </c>
      <c r="B332" s="1" t="s">
        <v>981</v>
      </c>
      <c r="C332">
        <v>76</v>
      </c>
      <c r="D332" s="1" t="s">
        <v>23</v>
      </c>
      <c r="E332" s="1" t="s">
        <v>24</v>
      </c>
      <c r="F332" s="1" t="s">
        <v>135</v>
      </c>
      <c r="G332" s="1" t="s">
        <v>158</v>
      </c>
      <c r="H332" s="1" t="s">
        <v>37</v>
      </c>
      <c r="I332">
        <v>812</v>
      </c>
      <c r="J332">
        <v>3154</v>
      </c>
      <c r="K332">
        <v>5966</v>
      </c>
      <c r="L332">
        <v>11626</v>
      </c>
      <c r="M332">
        <v>21558</v>
      </c>
      <c r="N332" s="2">
        <v>46022</v>
      </c>
      <c r="O332" s="2">
        <v>45741</v>
      </c>
      <c r="P332" s="1" t="s">
        <v>35</v>
      </c>
      <c r="Q332" s="1" t="s">
        <v>9</v>
      </c>
      <c r="R332" s="1" t="s">
        <v>87</v>
      </c>
      <c r="S332">
        <v>471</v>
      </c>
      <c r="T332" s="1" t="s">
        <v>982</v>
      </c>
    </row>
    <row r="333" spans="1:20" x14ac:dyDescent="0.3">
      <c r="A333" s="1" t="s">
        <v>983</v>
      </c>
      <c r="B333" s="1" t="s">
        <v>180</v>
      </c>
      <c r="C333">
        <v>66</v>
      </c>
      <c r="D333" s="1" t="s">
        <v>23</v>
      </c>
      <c r="E333" s="1" t="s">
        <v>15</v>
      </c>
      <c r="F333" s="1" t="s">
        <v>120</v>
      </c>
      <c r="G333" s="1" t="s">
        <v>176</v>
      </c>
      <c r="H333" s="1" t="s">
        <v>155</v>
      </c>
      <c r="I333">
        <v>389</v>
      </c>
      <c r="J333">
        <v>1899</v>
      </c>
      <c r="K333">
        <v>7773</v>
      </c>
      <c r="L333">
        <v>6491</v>
      </c>
      <c r="M333">
        <v>16552</v>
      </c>
      <c r="N333" s="2">
        <v>45947</v>
      </c>
      <c r="O333" s="2">
        <v>45995</v>
      </c>
      <c r="P333" s="1" t="s">
        <v>25</v>
      </c>
      <c r="Q333" s="1" t="s">
        <v>31</v>
      </c>
      <c r="R333" s="1" t="s">
        <v>22</v>
      </c>
      <c r="S333">
        <v>887</v>
      </c>
      <c r="T333" s="1" t="s">
        <v>984</v>
      </c>
    </row>
    <row r="334" spans="1:20" x14ac:dyDescent="0.3">
      <c r="A334" s="1" t="s">
        <v>985</v>
      </c>
      <c r="B334" s="1" t="s">
        <v>253</v>
      </c>
      <c r="C334">
        <v>40</v>
      </c>
      <c r="D334" s="1" t="s">
        <v>12</v>
      </c>
      <c r="E334" s="1" t="s">
        <v>36</v>
      </c>
      <c r="F334" s="1" t="s">
        <v>135</v>
      </c>
      <c r="G334" s="1" t="s">
        <v>158</v>
      </c>
      <c r="H334" s="1" t="s">
        <v>26</v>
      </c>
      <c r="I334">
        <v>670</v>
      </c>
      <c r="J334">
        <v>1463</v>
      </c>
      <c r="K334">
        <v>7660</v>
      </c>
      <c r="L334">
        <v>3155</v>
      </c>
      <c r="M334">
        <v>12948</v>
      </c>
      <c r="N334" s="2">
        <v>45761</v>
      </c>
      <c r="O334" s="2">
        <v>45659</v>
      </c>
      <c r="P334" s="1" t="s">
        <v>136</v>
      </c>
      <c r="Q334" s="1" t="s">
        <v>9</v>
      </c>
      <c r="R334" s="1" t="s">
        <v>17</v>
      </c>
      <c r="S334">
        <v>975</v>
      </c>
      <c r="T334" s="1" t="s">
        <v>986</v>
      </c>
    </row>
    <row r="335" spans="1:20" x14ac:dyDescent="0.3">
      <c r="A335" s="1" t="s">
        <v>987</v>
      </c>
      <c r="B335" s="1" t="s">
        <v>988</v>
      </c>
      <c r="C335">
        <v>78</v>
      </c>
      <c r="D335" s="1" t="s">
        <v>12</v>
      </c>
      <c r="E335" s="1" t="s">
        <v>33</v>
      </c>
      <c r="F335" s="1" t="s">
        <v>84</v>
      </c>
      <c r="G335" s="1" t="s">
        <v>85</v>
      </c>
      <c r="H335" s="1" t="s">
        <v>115</v>
      </c>
      <c r="I335">
        <v>1274</v>
      </c>
      <c r="J335">
        <v>4217</v>
      </c>
      <c r="K335">
        <v>3659</v>
      </c>
      <c r="L335">
        <v>8239</v>
      </c>
      <c r="M335">
        <v>17389</v>
      </c>
      <c r="N335" s="2">
        <v>45698</v>
      </c>
      <c r="O335" s="2">
        <v>45965</v>
      </c>
      <c r="P335" s="1" t="s">
        <v>136</v>
      </c>
      <c r="Q335" s="1" t="s">
        <v>21</v>
      </c>
      <c r="R335" s="1" t="s">
        <v>87</v>
      </c>
      <c r="S335">
        <v>743</v>
      </c>
      <c r="T335" s="1" t="s">
        <v>989</v>
      </c>
    </row>
    <row r="336" spans="1:20" x14ac:dyDescent="0.3">
      <c r="A336" s="1" t="s">
        <v>990</v>
      </c>
      <c r="B336" s="1" t="s">
        <v>491</v>
      </c>
      <c r="C336">
        <v>24</v>
      </c>
      <c r="D336" s="1" t="s">
        <v>23</v>
      </c>
      <c r="E336" s="1" t="s">
        <v>36</v>
      </c>
      <c r="F336" s="1" t="s">
        <v>103</v>
      </c>
      <c r="G336" s="1" t="s">
        <v>91</v>
      </c>
      <c r="H336" s="1" t="s">
        <v>99</v>
      </c>
      <c r="I336">
        <v>375</v>
      </c>
      <c r="J336">
        <v>1690</v>
      </c>
      <c r="K336">
        <v>7294</v>
      </c>
      <c r="L336">
        <v>1531</v>
      </c>
      <c r="M336">
        <v>10890</v>
      </c>
      <c r="N336" s="2">
        <v>45999</v>
      </c>
      <c r="O336" s="2">
        <v>45953</v>
      </c>
      <c r="P336" s="1" t="s">
        <v>136</v>
      </c>
      <c r="Q336" s="1" t="s">
        <v>16</v>
      </c>
      <c r="R336" s="1" t="s">
        <v>22</v>
      </c>
      <c r="S336">
        <v>211</v>
      </c>
      <c r="T336" s="1" t="s">
        <v>991</v>
      </c>
    </row>
    <row r="337" spans="1:20" x14ac:dyDescent="0.3">
      <c r="A337" s="1" t="s">
        <v>992</v>
      </c>
      <c r="B337" s="1" t="s">
        <v>993</v>
      </c>
      <c r="C337">
        <v>37</v>
      </c>
      <c r="D337" s="1" t="s">
        <v>23</v>
      </c>
      <c r="E337" s="1" t="s">
        <v>24</v>
      </c>
      <c r="F337" s="1" t="s">
        <v>135</v>
      </c>
      <c r="G337" s="1" t="s">
        <v>176</v>
      </c>
      <c r="H337" s="1" t="s">
        <v>99</v>
      </c>
      <c r="I337">
        <v>373</v>
      </c>
      <c r="J337">
        <v>1262</v>
      </c>
      <c r="K337">
        <v>6595</v>
      </c>
      <c r="L337">
        <v>5903</v>
      </c>
      <c r="M337">
        <v>14133</v>
      </c>
      <c r="N337" s="2">
        <v>45823</v>
      </c>
      <c r="O337" s="2">
        <v>45846</v>
      </c>
      <c r="P337" s="1" t="s">
        <v>93</v>
      </c>
      <c r="Q337" s="1" t="s">
        <v>9</v>
      </c>
      <c r="R337" s="1" t="s">
        <v>87</v>
      </c>
      <c r="S337">
        <v>166</v>
      </c>
      <c r="T337" s="1" t="s">
        <v>994</v>
      </c>
    </row>
    <row r="338" spans="1:20" x14ac:dyDescent="0.3">
      <c r="A338" s="1" t="s">
        <v>995</v>
      </c>
      <c r="B338" s="1" t="s">
        <v>45</v>
      </c>
      <c r="C338">
        <v>16</v>
      </c>
      <c r="D338" s="1" t="s">
        <v>12</v>
      </c>
      <c r="E338" s="1" t="s">
        <v>24</v>
      </c>
      <c r="F338" s="1" t="s">
        <v>97</v>
      </c>
      <c r="G338" s="1" t="s">
        <v>125</v>
      </c>
      <c r="H338" s="1" t="s">
        <v>199</v>
      </c>
      <c r="I338">
        <v>1374</v>
      </c>
      <c r="J338">
        <v>2219</v>
      </c>
      <c r="K338">
        <v>6000</v>
      </c>
      <c r="L338">
        <v>4425</v>
      </c>
      <c r="M338">
        <v>14018</v>
      </c>
      <c r="N338" s="2">
        <v>45971</v>
      </c>
      <c r="O338" s="2">
        <v>45687</v>
      </c>
      <c r="P338" s="1" t="s">
        <v>35</v>
      </c>
      <c r="Q338" s="1" t="s">
        <v>21</v>
      </c>
      <c r="R338" s="1" t="s">
        <v>17</v>
      </c>
      <c r="S338">
        <v>723</v>
      </c>
      <c r="T338" s="1" t="s">
        <v>996</v>
      </c>
    </row>
    <row r="339" spans="1:20" x14ac:dyDescent="0.3">
      <c r="A339" s="1" t="s">
        <v>997</v>
      </c>
      <c r="B339" s="1" t="s">
        <v>998</v>
      </c>
      <c r="C339">
        <v>68</v>
      </c>
      <c r="D339" s="1" t="s">
        <v>12</v>
      </c>
      <c r="E339" s="1" t="s">
        <v>36</v>
      </c>
      <c r="F339" s="1" t="s">
        <v>109</v>
      </c>
      <c r="G339" s="1" t="s">
        <v>85</v>
      </c>
      <c r="H339" s="1" t="s">
        <v>215</v>
      </c>
      <c r="I339">
        <v>1364</v>
      </c>
      <c r="J339">
        <v>4577</v>
      </c>
      <c r="K339">
        <v>4334</v>
      </c>
      <c r="L339">
        <v>14237</v>
      </c>
      <c r="M339">
        <v>24512</v>
      </c>
      <c r="N339" s="2">
        <v>45750</v>
      </c>
      <c r="O339" s="2">
        <v>45970</v>
      </c>
      <c r="P339" s="1" t="s">
        <v>19</v>
      </c>
      <c r="Q339" s="1" t="s">
        <v>16</v>
      </c>
      <c r="R339" s="1" t="s">
        <v>22</v>
      </c>
      <c r="S339">
        <v>124</v>
      </c>
      <c r="T339" s="1" t="s">
        <v>999</v>
      </c>
    </row>
    <row r="340" spans="1:20" x14ac:dyDescent="0.3">
      <c r="A340" s="1" t="s">
        <v>1000</v>
      </c>
      <c r="B340" s="1" t="s">
        <v>618</v>
      </c>
      <c r="C340">
        <v>79</v>
      </c>
      <c r="D340" s="1" t="s">
        <v>12</v>
      </c>
      <c r="E340" s="1" t="s">
        <v>40</v>
      </c>
      <c r="F340" s="1" t="s">
        <v>120</v>
      </c>
      <c r="G340" s="1" t="s">
        <v>104</v>
      </c>
      <c r="H340" s="1" t="s">
        <v>29</v>
      </c>
      <c r="I340">
        <v>983</v>
      </c>
      <c r="J340">
        <v>3364</v>
      </c>
      <c r="K340">
        <v>4890</v>
      </c>
      <c r="L340">
        <v>14206</v>
      </c>
      <c r="M340">
        <v>23443</v>
      </c>
      <c r="N340" s="2">
        <v>45984</v>
      </c>
      <c r="O340" s="2">
        <v>45766</v>
      </c>
      <c r="P340" s="1" t="s">
        <v>34</v>
      </c>
      <c r="Q340" s="1" t="s">
        <v>21</v>
      </c>
      <c r="R340" s="1" t="s">
        <v>17</v>
      </c>
      <c r="S340">
        <v>909</v>
      </c>
      <c r="T340" s="1" t="s">
        <v>1001</v>
      </c>
    </row>
    <row r="341" spans="1:20" x14ac:dyDescent="0.3">
      <c r="A341" s="1" t="s">
        <v>1002</v>
      </c>
      <c r="B341" s="1" t="s">
        <v>415</v>
      </c>
      <c r="C341">
        <v>65</v>
      </c>
      <c r="D341" s="1" t="s">
        <v>12</v>
      </c>
      <c r="E341" s="1" t="s">
        <v>15</v>
      </c>
      <c r="F341" s="1" t="s">
        <v>103</v>
      </c>
      <c r="G341" s="1" t="s">
        <v>85</v>
      </c>
      <c r="H341" s="1" t="s">
        <v>13</v>
      </c>
      <c r="I341">
        <v>982</v>
      </c>
      <c r="J341">
        <v>3296</v>
      </c>
      <c r="K341">
        <v>3544</v>
      </c>
      <c r="L341">
        <v>12868</v>
      </c>
      <c r="M341">
        <v>20690</v>
      </c>
      <c r="N341" s="2">
        <v>45949</v>
      </c>
      <c r="O341" s="2">
        <v>45973</v>
      </c>
      <c r="P341" s="1" t="s">
        <v>34</v>
      </c>
      <c r="Q341" s="1" t="s">
        <v>21</v>
      </c>
      <c r="R341" s="1" t="s">
        <v>17</v>
      </c>
      <c r="S341">
        <v>788</v>
      </c>
      <c r="T341" s="1" t="s">
        <v>1003</v>
      </c>
    </row>
    <row r="342" spans="1:20" x14ac:dyDescent="0.3">
      <c r="A342" s="1" t="s">
        <v>1004</v>
      </c>
      <c r="B342" s="1" t="s">
        <v>48</v>
      </c>
      <c r="C342">
        <v>83</v>
      </c>
      <c r="D342" s="1" t="s">
        <v>23</v>
      </c>
      <c r="E342" s="1" t="s">
        <v>36</v>
      </c>
      <c r="F342" s="1" t="s">
        <v>135</v>
      </c>
      <c r="G342" s="1" t="s">
        <v>98</v>
      </c>
      <c r="H342" s="1" t="s">
        <v>86</v>
      </c>
      <c r="I342">
        <v>1243</v>
      </c>
      <c r="J342">
        <v>4898</v>
      </c>
      <c r="K342">
        <v>7639</v>
      </c>
      <c r="L342">
        <v>6490</v>
      </c>
      <c r="M342">
        <v>20270</v>
      </c>
      <c r="N342" s="2">
        <v>45894</v>
      </c>
      <c r="O342" s="2">
        <v>45869</v>
      </c>
      <c r="P342" s="1" t="s">
        <v>34</v>
      </c>
      <c r="Q342" s="1" t="s">
        <v>21</v>
      </c>
      <c r="R342" s="1" t="s">
        <v>87</v>
      </c>
      <c r="S342">
        <v>648</v>
      </c>
      <c r="T342" s="1" t="s">
        <v>1005</v>
      </c>
    </row>
    <row r="343" spans="1:20" x14ac:dyDescent="0.3">
      <c r="A343" s="1" t="s">
        <v>1006</v>
      </c>
      <c r="B343" s="1" t="s">
        <v>469</v>
      </c>
      <c r="C343">
        <v>43</v>
      </c>
      <c r="D343" s="1" t="s">
        <v>12</v>
      </c>
      <c r="E343" s="1" t="s">
        <v>38</v>
      </c>
      <c r="F343" s="1" t="s">
        <v>114</v>
      </c>
      <c r="G343" s="1" t="s">
        <v>85</v>
      </c>
      <c r="H343" s="1" t="s">
        <v>86</v>
      </c>
      <c r="I343">
        <v>874</v>
      </c>
      <c r="J343">
        <v>755</v>
      </c>
      <c r="K343">
        <v>3078</v>
      </c>
      <c r="L343">
        <v>7147</v>
      </c>
      <c r="M343">
        <v>11854</v>
      </c>
      <c r="N343" s="2">
        <v>45978</v>
      </c>
      <c r="O343" s="2">
        <v>45931</v>
      </c>
      <c r="P343" s="1" t="s">
        <v>25</v>
      </c>
      <c r="Q343" s="1" t="s">
        <v>16</v>
      </c>
      <c r="R343" s="1" t="s">
        <v>17</v>
      </c>
      <c r="S343">
        <v>822</v>
      </c>
      <c r="T343" s="1" t="s">
        <v>1007</v>
      </c>
    </row>
    <row r="344" spans="1:20" x14ac:dyDescent="0.3">
      <c r="A344" s="1" t="s">
        <v>1008</v>
      </c>
      <c r="B344" s="1" t="s">
        <v>64</v>
      </c>
      <c r="C344">
        <v>35</v>
      </c>
      <c r="D344" s="1" t="s">
        <v>12</v>
      </c>
      <c r="E344" s="1" t="s">
        <v>36</v>
      </c>
      <c r="F344" s="1" t="s">
        <v>114</v>
      </c>
      <c r="G344" s="1" t="s">
        <v>85</v>
      </c>
      <c r="H344" s="1" t="s">
        <v>215</v>
      </c>
      <c r="I344">
        <v>786</v>
      </c>
      <c r="J344">
        <v>3544</v>
      </c>
      <c r="K344">
        <v>4002</v>
      </c>
      <c r="L344">
        <v>14589</v>
      </c>
      <c r="M344">
        <v>22921</v>
      </c>
      <c r="N344" s="2">
        <v>45812</v>
      </c>
      <c r="O344" s="2">
        <v>45768</v>
      </c>
      <c r="P344" s="1" t="s">
        <v>110</v>
      </c>
      <c r="Q344" s="1" t="s">
        <v>16</v>
      </c>
      <c r="R344" s="1" t="s">
        <v>17</v>
      </c>
      <c r="S344">
        <v>903</v>
      </c>
      <c r="T344" s="1" t="s">
        <v>1009</v>
      </c>
    </row>
    <row r="345" spans="1:20" x14ac:dyDescent="0.3">
      <c r="A345" s="1" t="s">
        <v>1010</v>
      </c>
      <c r="B345" s="1" t="s">
        <v>1011</v>
      </c>
      <c r="C345">
        <v>57</v>
      </c>
      <c r="D345" s="1" t="s">
        <v>23</v>
      </c>
      <c r="E345" s="1" t="s">
        <v>15</v>
      </c>
      <c r="F345" s="1" t="s">
        <v>135</v>
      </c>
      <c r="G345" s="1" t="s">
        <v>176</v>
      </c>
      <c r="H345" s="1" t="s">
        <v>86</v>
      </c>
      <c r="I345">
        <v>689</v>
      </c>
      <c r="J345">
        <v>3286</v>
      </c>
      <c r="K345">
        <v>7866</v>
      </c>
      <c r="L345">
        <v>8921</v>
      </c>
      <c r="M345">
        <v>20762</v>
      </c>
      <c r="N345" s="2">
        <v>45926</v>
      </c>
      <c r="O345" s="2">
        <v>45816</v>
      </c>
      <c r="P345" s="1" t="s">
        <v>177</v>
      </c>
      <c r="Q345" s="1" t="s">
        <v>16</v>
      </c>
      <c r="R345" s="1" t="s">
        <v>87</v>
      </c>
      <c r="S345">
        <v>792</v>
      </c>
      <c r="T345" s="1" t="s">
        <v>1012</v>
      </c>
    </row>
    <row r="346" spans="1:20" x14ac:dyDescent="0.3">
      <c r="A346" s="1" t="s">
        <v>1013</v>
      </c>
      <c r="B346" s="1" t="s">
        <v>491</v>
      </c>
      <c r="C346">
        <v>59</v>
      </c>
      <c r="D346" s="1" t="s">
        <v>12</v>
      </c>
      <c r="E346" s="1" t="s">
        <v>27</v>
      </c>
      <c r="F346" s="1" t="s">
        <v>114</v>
      </c>
      <c r="G346" s="1" t="s">
        <v>158</v>
      </c>
      <c r="H346" s="1" t="s">
        <v>18</v>
      </c>
      <c r="I346">
        <v>936</v>
      </c>
      <c r="J346">
        <v>860</v>
      </c>
      <c r="K346">
        <v>5928</v>
      </c>
      <c r="L346">
        <v>14895</v>
      </c>
      <c r="M346">
        <v>22619</v>
      </c>
      <c r="N346" s="2">
        <v>45962</v>
      </c>
      <c r="O346" s="2">
        <v>45702</v>
      </c>
      <c r="P346" s="1" t="s">
        <v>177</v>
      </c>
      <c r="Q346" s="1" t="s">
        <v>16</v>
      </c>
      <c r="R346" s="1" t="s">
        <v>87</v>
      </c>
      <c r="S346">
        <v>884</v>
      </c>
      <c r="T346" s="1" t="s">
        <v>1014</v>
      </c>
    </row>
    <row r="347" spans="1:20" x14ac:dyDescent="0.3">
      <c r="A347" s="1" t="s">
        <v>1015</v>
      </c>
      <c r="B347" s="1" t="s">
        <v>1016</v>
      </c>
      <c r="C347">
        <v>74</v>
      </c>
      <c r="D347" s="1" t="s">
        <v>12</v>
      </c>
      <c r="E347" s="1" t="s">
        <v>24</v>
      </c>
      <c r="F347" s="1" t="s">
        <v>84</v>
      </c>
      <c r="G347" s="1" t="s">
        <v>91</v>
      </c>
      <c r="H347" s="1" t="s">
        <v>186</v>
      </c>
      <c r="I347">
        <v>710</v>
      </c>
      <c r="J347">
        <v>2077</v>
      </c>
      <c r="K347">
        <v>2647</v>
      </c>
      <c r="L347">
        <v>5532</v>
      </c>
      <c r="M347">
        <v>10966</v>
      </c>
      <c r="N347" s="2">
        <v>45930</v>
      </c>
      <c r="O347" s="2">
        <v>45821</v>
      </c>
      <c r="P347" s="1" t="s">
        <v>116</v>
      </c>
      <c r="Q347" s="1" t="s">
        <v>31</v>
      </c>
      <c r="R347" s="1" t="s">
        <v>22</v>
      </c>
      <c r="S347">
        <v>380</v>
      </c>
      <c r="T347" s="1" t="s">
        <v>1017</v>
      </c>
    </row>
    <row r="348" spans="1:20" x14ac:dyDescent="0.3">
      <c r="A348" s="1" t="s">
        <v>1018</v>
      </c>
      <c r="B348" s="1" t="s">
        <v>218</v>
      </c>
      <c r="C348">
        <v>72</v>
      </c>
      <c r="D348" s="1" t="s">
        <v>23</v>
      </c>
      <c r="E348" s="1" t="s">
        <v>40</v>
      </c>
      <c r="F348" s="1" t="s">
        <v>84</v>
      </c>
      <c r="G348" s="1" t="s">
        <v>85</v>
      </c>
      <c r="H348" s="1" t="s">
        <v>99</v>
      </c>
      <c r="I348">
        <v>1425</v>
      </c>
      <c r="J348">
        <v>3109</v>
      </c>
      <c r="K348">
        <v>2520</v>
      </c>
      <c r="L348">
        <v>3319</v>
      </c>
      <c r="M348">
        <v>10373</v>
      </c>
      <c r="N348" s="2">
        <v>46018</v>
      </c>
      <c r="O348" s="2">
        <v>45803</v>
      </c>
      <c r="P348" s="1" t="s">
        <v>136</v>
      </c>
      <c r="Q348" s="1" t="s">
        <v>16</v>
      </c>
      <c r="R348" s="1" t="s">
        <v>17</v>
      </c>
      <c r="S348">
        <v>727</v>
      </c>
      <c r="T348" s="1" t="s">
        <v>1019</v>
      </c>
    </row>
    <row r="349" spans="1:20" x14ac:dyDescent="0.3">
      <c r="A349" s="1" t="s">
        <v>1020</v>
      </c>
      <c r="B349" s="1" t="s">
        <v>750</v>
      </c>
      <c r="C349">
        <v>57</v>
      </c>
      <c r="D349" s="1" t="s">
        <v>23</v>
      </c>
      <c r="E349" s="1" t="s">
        <v>38</v>
      </c>
      <c r="F349" s="1" t="s">
        <v>109</v>
      </c>
      <c r="G349" s="1" t="s">
        <v>85</v>
      </c>
      <c r="H349" s="1" t="s">
        <v>18</v>
      </c>
      <c r="I349">
        <v>1264</v>
      </c>
      <c r="J349">
        <v>913</v>
      </c>
      <c r="K349">
        <v>1167</v>
      </c>
      <c r="L349">
        <v>7284</v>
      </c>
      <c r="M349">
        <v>10628</v>
      </c>
      <c r="N349" s="2">
        <v>45685</v>
      </c>
      <c r="O349" s="2">
        <v>45702</v>
      </c>
      <c r="P349" s="1" t="s">
        <v>93</v>
      </c>
      <c r="Q349" s="1" t="s">
        <v>9</v>
      </c>
      <c r="R349" s="1" t="s">
        <v>87</v>
      </c>
      <c r="S349">
        <v>464</v>
      </c>
      <c r="T349" s="1" t="s">
        <v>1021</v>
      </c>
    </row>
    <row r="350" spans="1:20" x14ac:dyDescent="0.3">
      <c r="A350" s="1" t="s">
        <v>1022</v>
      </c>
      <c r="B350" s="1" t="s">
        <v>39</v>
      </c>
      <c r="C350">
        <v>69</v>
      </c>
      <c r="D350" s="1" t="s">
        <v>23</v>
      </c>
      <c r="E350" s="1" t="s">
        <v>27</v>
      </c>
      <c r="F350" s="1" t="s">
        <v>135</v>
      </c>
      <c r="G350" s="1" t="s">
        <v>85</v>
      </c>
      <c r="H350" s="1" t="s">
        <v>86</v>
      </c>
      <c r="I350">
        <v>490</v>
      </c>
      <c r="J350">
        <v>4336</v>
      </c>
      <c r="K350">
        <v>1096</v>
      </c>
      <c r="L350">
        <v>8464</v>
      </c>
      <c r="M350">
        <v>14386</v>
      </c>
      <c r="N350" s="2">
        <v>45816</v>
      </c>
      <c r="O350" s="2">
        <v>46008</v>
      </c>
      <c r="P350" s="1" t="s">
        <v>116</v>
      </c>
      <c r="Q350" s="1" t="s">
        <v>31</v>
      </c>
      <c r="R350" s="1" t="s">
        <v>22</v>
      </c>
      <c r="S350">
        <v>981</v>
      </c>
      <c r="T350" s="1" t="s">
        <v>1023</v>
      </c>
    </row>
    <row r="351" spans="1:20" x14ac:dyDescent="0.3">
      <c r="A351" s="1" t="s">
        <v>1024</v>
      </c>
      <c r="B351" s="1" t="s">
        <v>1025</v>
      </c>
      <c r="C351">
        <v>47</v>
      </c>
      <c r="D351" s="1" t="s">
        <v>12</v>
      </c>
      <c r="E351" s="1" t="s">
        <v>20</v>
      </c>
      <c r="F351" s="1" t="s">
        <v>109</v>
      </c>
      <c r="G351" s="1" t="s">
        <v>125</v>
      </c>
      <c r="H351" s="1" t="s">
        <v>186</v>
      </c>
      <c r="I351">
        <v>965</v>
      </c>
      <c r="J351">
        <v>4213</v>
      </c>
      <c r="K351">
        <v>4293</v>
      </c>
      <c r="L351">
        <v>1495</v>
      </c>
      <c r="M351">
        <v>10966</v>
      </c>
      <c r="N351" s="2">
        <v>45691</v>
      </c>
      <c r="O351" s="2">
        <v>45901</v>
      </c>
      <c r="P351" s="1" t="s">
        <v>35</v>
      </c>
      <c r="Q351" s="1" t="s">
        <v>9</v>
      </c>
      <c r="R351" s="1" t="s">
        <v>22</v>
      </c>
      <c r="S351">
        <v>389</v>
      </c>
      <c r="T351" s="1" t="s">
        <v>1026</v>
      </c>
    </row>
    <row r="352" spans="1:20" x14ac:dyDescent="0.3">
      <c r="A352" s="1" t="s">
        <v>1027</v>
      </c>
      <c r="B352" s="1" t="s">
        <v>1028</v>
      </c>
      <c r="C352">
        <v>74</v>
      </c>
      <c r="D352" s="1" t="s">
        <v>23</v>
      </c>
      <c r="E352" s="1" t="s">
        <v>27</v>
      </c>
      <c r="F352" s="1" t="s">
        <v>114</v>
      </c>
      <c r="G352" s="1" t="s">
        <v>125</v>
      </c>
      <c r="H352" s="1" t="s">
        <v>155</v>
      </c>
      <c r="I352">
        <v>519</v>
      </c>
      <c r="J352">
        <v>3169</v>
      </c>
      <c r="K352">
        <v>4855</v>
      </c>
      <c r="L352">
        <v>11640</v>
      </c>
      <c r="M352">
        <v>20183</v>
      </c>
      <c r="N352" s="2">
        <v>45694</v>
      </c>
      <c r="O352" s="2">
        <v>45812</v>
      </c>
      <c r="P352" s="1" t="s">
        <v>110</v>
      </c>
      <c r="Q352" s="1" t="s">
        <v>9</v>
      </c>
      <c r="R352" s="1" t="s">
        <v>22</v>
      </c>
      <c r="S352">
        <v>735</v>
      </c>
      <c r="T352" s="1" t="s">
        <v>1029</v>
      </c>
    </row>
    <row r="353" spans="1:20" x14ac:dyDescent="0.3">
      <c r="A353" s="1" t="s">
        <v>1030</v>
      </c>
      <c r="B353" s="1" t="s">
        <v>1031</v>
      </c>
      <c r="C353">
        <v>62</v>
      </c>
      <c r="D353" s="1" t="s">
        <v>12</v>
      </c>
      <c r="E353" s="1" t="s">
        <v>40</v>
      </c>
      <c r="F353" s="1" t="s">
        <v>114</v>
      </c>
      <c r="G353" s="1" t="s">
        <v>85</v>
      </c>
      <c r="H353" s="1" t="s">
        <v>186</v>
      </c>
      <c r="I353">
        <v>726</v>
      </c>
      <c r="J353">
        <v>4031</v>
      </c>
      <c r="K353">
        <v>6725</v>
      </c>
      <c r="L353">
        <v>8132</v>
      </c>
      <c r="M353">
        <v>19614</v>
      </c>
      <c r="N353" s="2">
        <v>45948</v>
      </c>
      <c r="O353" s="2">
        <v>45833</v>
      </c>
      <c r="P353" s="1" t="s">
        <v>110</v>
      </c>
      <c r="Q353" s="1" t="s">
        <v>16</v>
      </c>
      <c r="R353" s="1" t="s">
        <v>87</v>
      </c>
      <c r="S353">
        <v>828</v>
      </c>
      <c r="T353" s="1" t="s">
        <v>1032</v>
      </c>
    </row>
    <row r="354" spans="1:20" x14ac:dyDescent="0.3">
      <c r="A354" s="1" t="s">
        <v>1033</v>
      </c>
      <c r="B354" s="1" t="s">
        <v>11</v>
      </c>
      <c r="C354">
        <v>76</v>
      </c>
      <c r="D354" s="1" t="s">
        <v>12</v>
      </c>
      <c r="E354" s="1" t="s">
        <v>38</v>
      </c>
      <c r="F354" s="1" t="s">
        <v>97</v>
      </c>
      <c r="G354" s="1" t="s">
        <v>91</v>
      </c>
      <c r="H354" s="1" t="s">
        <v>13</v>
      </c>
      <c r="I354">
        <v>1211</v>
      </c>
      <c r="J354">
        <v>1943</v>
      </c>
      <c r="K354">
        <v>2823</v>
      </c>
      <c r="L354">
        <v>7648</v>
      </c>
      <c r="M354">
        <v>13625</v>
      </c>
      <c r="N354" s="2">
        <v>45693</v>
      </c>
      <c r="O354" s="2">
        <v>45964</v>
      </c>
      <c r="P354" s="1" t="s">
        <v>35</v>
      </c>
      <c r="Q354" s="1" t="s">
        <v>9</v>
      </c>
      <c r="R354" s="1" t="s">
        <v>87</v>
      </c>
      <c r="S354">
        <v>776</v>
      </c>
      <c r="T354" s="1" t="s">
        <v>1034</v>
      </c>
    </row>
    <row r="355" spans="1:20" x14ac:dyDescent="0.3">
      <c r="A355" s="1" t="s">
        <v>1035</v>
      </c>
      <c r="B355" s="1" t="s">
        <v>800</v>
      </c>
      <c r="C355">
        <v>18</v>
      </c>
      <c r="D355" s="1" t="s">
        <v>23</v>
      </c>
      <c r="E355" s="1" t="s">
        <v>40</v>
      </c>
      <c r="F355" s="1" t="s">
        <v>109</v>
      </c>
      <c r="G355" s="1" t="s">
        <v>85</v>
      </c>
      <c r="H355" s="1" t="s">
        <v>86</v>
      </c>
      <c r="I355">
        <v>1227</v>
      </c>
      <c r="J355">
        <v>4852</v>
      </c>
      <c r="K355">
        <v>2687</v>
      </c>
      <c r="L355">
        <v>7389</v>
      </c>
      <c r="M355">
        <v>16155</v>
      </c>
      <c r="N355" s="2">
        <v>45973</v>
      </c>
      <c r="O355" s="2">
        <v>45953</v>
      </c>
      <c r="P355" s="1" t="s">
        <v>116</v>
      </c>
      <c r="Q355" s="1" t="s">
        <v>21</v>
      </c>
      <c r="R355" s="1" t="s">
        <v>17</v>
      </c>
      <c r="S355">
        <v>683</v>
      </c>
      <c r="T355" s="1" t="s">
        <v>1036</v>
      </c>
    </row>
    <row r="356" spans="1:20" x14ac:dyDescent="0.3">
      <c r="A356" s="1" t="s">
        <v>1037</v>
      </c>
      <c r="B356" s="1" t="s">
        <v>708</v>
      </c>
      <c r="C356">
        <v>45</v>
      </c>
      <c r="D356" s="1" t="s">
        <v>23</v>
      </c>
      <c r="E356" s="1" t="s">
        <v>20</v>
      </c>
      <c r="F356" s="1" t="s">
        <v>103</v>
      </c>
      <c r="G356" s="1" t="s">
        <v>158</v>
      </c>
      <c r="H356" s="1" t="s">
        <v>155</v>
      </c>
      <c r="I356">
        <v>561</v>
      </c>
      <c r="J356">
        <v>2909</v>
      </c>
      <c r="K356">
        <v>811</v>
      </c>
      <c r="L356">
        <v>7049</v>
      </c>
      <c r="M356">
        <v>11330</v>
      </c>
      <c r="N356" s="2">
        <v>45939</v>
      </c>
      <c r="O356" s="2">
        <v>45685</v>
      </c>
      <c r="P356" s="1" t="s">
        <v>34</v>
      </c>
      <c r="Q356" s="1" t="s">
        <v>21</v>
      </c>
      <c r="R356" s="1" t="s">
        <v>22</v>
      </c>
      <c r="S356">
        <v>340</v>
      </c>
      <c r="T356" s="1" t="s">
        <v>1038</v>
      </c>
    </row>
    <row r="357" spans="1:20" x14ac:dyDescent="0.3">
      <c r="A357" s="1" t="s">
        <v>1039</v>
      </c>
      <c r="B357" s="1" t="s">
        <v>1040</v>
      </c>
      <c r="C357">
        <v>81</v>
      </c>
      <c r="D357" s="1" t="s">
        <v>12</v>
      </c>
      <c r="E357" s="1" t="s">
        <v>15</v>
      </c>
      <c r="F357" s="1" t="s">
        <v>120</v>
      </c>
      <c r="G357" s="1" t="s">
        <v>85</v>
      </c>
      <c r="H357" s="1" t="s">
        <v>155</v>
      </c>
      <c r="I357">
        <v>1081</v>
      </c>
      <c r="J357">
        <v>4065</v>
      </c>
      <c r="K357">
        <v>4765</v>
      </c>
      <c r="L357">
        <v>4460</v>
      </c>
      <c r="M357">
        <v>14371</v>
      </c>
      <c r="N357" s="2">
        <v>45997</v>
      </c>
      <c r="O357" s="2">
        <v>45746</v>
      </c>
      <c r="P357" s="1" t="s">
        <v>116</v>
      </c>
      <c r="Q357" s="1" t="s">
        <v>9</v>
      </c>
      <c r="R357" s="1" t="s">
        <v>17</v>
      </c>
      <c r="S357">
        <v>960</v>
      </c>
      <c r="T357" s="1" t="s">
        <v>1041</v>
      </c>
    </row>
    <row r="358" spans="1:20" x14ac:dyDescent="0.3">
      <c r="A358" s="1" t="s">
        <v>1042</v>
      </c>
      <c r="B358" s="1" t="s">
        <v>1043</v>
      </c>
      <c r="C358">
        <v>17</v>
      </c>
      <c r="D358" s="1" t="s">
        <v>23</v>
      </c>
      <c r="E358" s="1" t="s">
        <v>24</v>
      </c>
      <c r="F358" s="1" t="s">
        <v>103</v>
      </c>
      <c r="G358" s="1" t="s">
        <v>85</v>
      </c>
      <c r="H358" s="1" t="s">
        <v>37</v>
      </c>
      <c r="I358">
        <v>332</v>
      </c>
      <c r="J358">
        <v>1679</v>
      </c>
      <c r="K358">
        <v>6209</v>
      </c>
      <c r="L358">
        <v>8974</v>
      </c>
      <c r="M358">
        <v>17194</v>
      </c>
      <c r="N358" s="2">
        <v>45994</v>
      </c>
      <c r="O358" s="2">
        <v>45881</v>
      </c>
      <c r="P358" s="1" t="s">
        <v>25</v>
      </c>
      <c r="Q358" s="1" t="s">
        <v>9</v>
      </c>
      <c r="R358" s="1" t="s">
        <v>17</v>
      </c>
      <c r="S358">
        <v>907</v>
      </c>
      <c r="T358" s="1" t="s">
        <v>1044</v>
      </c>
    </row>
    <row r="359" spans="1:20" x14ac:dyDescent="0.3">
      <c r="A359" s="1" t="s">
        <v>1045</v>
      </c>
      <c r="B359" s="1" t="s">
        <v>1046</v>
      </c>
      <c r="C359">
        <v>80</v>
      </c>
      <c r="D359" s="1" t="s">
        <v>23</v>
      </c>
      <c r="E359" s="1" t="s">
        <v>33</v>
      </c>
      <c r="F359" s="1" t="s">
        <v>135</v>
      </c>
      <c r="G359" s="1" t="s">
        <v>98</v>
      </c>
      <c r="H359" s="1" t="s">
        <v>199</v>
      </c>
      <c r="I359">
        <v>1430</v>
      </c>
      <c r="J359">
        <v>4186</v>
      </c>
      <c r="K359">
        <v>3451</v>
      </c>
      <c r="L359">
        <v>6821</v>
      </c>
      <c r="M359">
        <v>15888</v>
      </c>
      <c r="N359" s="2">
        <v>45773</v>
      </c>
      <c r="O359" s="2">
        <v>45753</v>
      </c>
      <c r="P359" s="1" t="s">
        <v>93</v>
      </c>
      <c r="Q359" s="1" t="s">
        <v>9</v>
      </c>
      <c r="R359" s="1" t="s">
        <v>87</v>
      </c>
      <c r="S359">
        <v>342</v>
      </c>
      <c r="T359" s="1" t="s">
        <v>1047</v>
      </c>
    </row>
    <row r="360" spans="1:20" x14ac:dyDescent="0.3">
      <c r="A360" s="1" t="s">
        <v>1048</v>
      </c>
      <c r="B360" s="1" t="s">
        <v>1049</v>
      </c>
      <c r="C360">
        <v>53</v>
      </c>
      <c r="D360" s="1" t="s">
        <v>12</v>
      </c>
      <c r="E360" s="1" t="s">
        <v>24</v>
      </c>
      <c r="F360" s="1" t="s">
        <v>103</v>
      </c>
      <c r="G360" s="1" t="s">
        <v>85</v>
      </c>
      <c r="H360" s="1" t="s">
        <v>29</v>
      </c>
      <c r="I360">
        <v>1463</v>
      </c>
      <c r="J360">
        <v>4458</v>
      </c>
      <c r="K360">
        <v>6074</v>
      </c>
      <c r="L360">
        <v>7038</v>
      </c>
      <c r="M360">
        <v>19033</v>
      </c>
      <c r="N360" s="2">
        <v>45715</v>
      </c>
      <c r="O360" s="2">
        <v>45955</v>
      </c>
      <c r="P360" s="1" t="s">
        <v>116</v>
      </c>
      <c r="Q360" s="1" t="s">
        <v>21</v>
      </c>
      <c r="R360" s="1" t="s">
        <v>17</v>
      </c>
      <c r="S360">
        <v>629</v>
      </c>
      <c r="T360" s="1" t="s">
        <v>1050</v>
      </c>
    </row>
    <row r="361" spans="1:20" x14ac:dyDescent="0.3">
      <c r="A361" s="1" t="s">
        <v>1051</v>
      </c>
      <c r="B361" s="1" t="s">
        <v>1052</v>
      </c>
      <c r="C361">
        <v>12</v>
      </c>
      <c r="D361" s="1" t="s">
        <v>23</v>
      </c>
      <c r="E361" s="1" t="s">
        <v>27</v>
      </c>
      <c r="F361" s="1" t="s">
        <v>135</v>
      </c>
      <c r="G361" s="1" t="s">
        <v>125</v>
      </c>
      <c r="H361" s="1" t="s">
        <v>37</v>
      </c>
      <c r="I361">
        <v>1404</v>
      </c>
      <c r="J361">
        <v>3059</v>
      </c>
      <c r="K361">
        <v>5322</v>
      </c>
      <c r="L361">
        <v>1864</v>
      </c>
      <c r="M361">
        <v>11649</v>
      </c>
      <c r="N361" s="2">
        <v>45833</v>
      </c>
      <c r="O361" s="2">
        <v>45931</v>
      </c>
      <c r="P361" s="1" t="s">
        <v>34</v>
      </c>
      <c r="Q361" s="1" t="s">
        <v>9</v>
      </c>
      <c r="R361" s="1" t="s">
        <v>87</v>
      </c>
      <c r="S361">
        <v>851</v>
      </c>
      <c r="T361" s="1" t="s">
        <v>1053</v>
      </c>
    </row>
    <row r="362" spans="1:20" x14ac:dyDescent="0.3">
      <c r="A362" s="1" t="s">
        <v>1054</v>
      </c>
      <c r="B362" s="1" t="s">
        <v>475</v>
      </c>
      <c r="C362">
        <v>38</v>
      </c>
      <c r="D362" s="1" t="s">
        <v>12</v>
      </c>
      <c r="E362" s="1" t="s">
        <v>33</v>
      </c>
      <c r="F362" s="1" t="s">
        <v>109</v>
      </c>
      <c r="G362" s="1" t="s">
        <v>104</v>
      </c>
      <c r="H362" s="1" t="s">
        <v>29</v>
      </c>
      <c r="I362">
        <v>922</v>
      </c>
      <c r="J362">
        <v>2633</v>
      </c>
      <c r="K362">
        <v>803</v>
      </c>
      <c r="L362">
        <v>11310</v>
      </c>
      <c r="M362">
        <v>15668</v>
      </c>
      <c r="N362" s="2">
        <v>45900</v>
      </c>
      <c r="O362" s="2">
        <v>45954</v>
      </c>
      <c r="P362" s="1" t="s">
        <v>25</v>
      </c>
      <c r="Q362" s="1" t="s">
        <v>21</v>
      </c>
      <c r="R362" s="1" t="s">
        <v>87</v>
      </c>
      <c r="S362">
        <v>739</v>
      </c>
      <c r="T362" s="1" t="s">
        <v>1055</v>
      </c>
    </row>
    <row r="363" spans="1:20" x14ac:dyDescent="0.3">
      <c r="A363" s="1" t="s">
        <v>1056</v>
      </c>
      <c r="B363" s="1" t="s">
        <v>364</v>
      </c>
      <c r="C363">
        <v>11</v>
      </c>
      <c r="D363" s="1" t="s">
        <v>23</v>
      </c>
      <c r="E363" s="1" t="s">
        <v>24</v>
      </c>
      <c r="F363" s="1" t="s">
        <v>114</v>
      </c>
      <c r="G363" s="1" t="s">
        <v>98</v>
      </c>
      <c r="H363" s="1" t="s">
        <v>165</v>
      </c>
      <c r="I363">
        <v>816</v>
      </c>
      <c r="J363">
        <v>1585</v>
      </c>
      <c r="K363">
        <v>5344</v>
      </c>
      <c r="L363">
        <v>5603</v>
      </c>
      <c r="M363">
        <v>13348</v>
      </c>
      <c r="N363" s="2">
        <v>45798</v>
      </c>
      <c r="O363" s="2">
        <v>45789</v>
      </c>
      <c r="P363" s="1" t="s">
        <v>34</v>
      </c>
      <c r="Q363" s="1" t="s">
        <v>31</v>
      </c>
      <c r="R363" s="1" t="s">
        <v>87</v>
      </c>
      <c r="S363">
        <v>856</v>
      </c>
      <c r="T363" s="1" t="s">
        <v>1057</v>
      </c>
    </row>
    <row r="364" spans="1:20" x14ac:dyDescent="0.3">
      <c r="A364" s="1" t="s">
        <v>1058</v>
      </c>
      <c r="B364" s="1" t="s">
        <v>586</v>
      </c>
      <c r="C364">
        <v>23</v>
      </c>
      <c r="D364" s="1" t="s">
        <v>12</v>
      </c>
      <c r="E364" s="1" t="s">
        <v>15</v>
      </c>
      <c r="F364" s="1" t="s">
        <v>84</v>
      </c>
      <c r="G364" s="1" t="s">
        <v>176</v>
      </c>
      <c r="H364" s="1" t="s">
        <v>215</v>
      </c>
      <c r="I364">
        <v>670</v>
      </c>
      <c r="J364">
        <v>4820</v>
      </c>
      <c r="K364">
        <v>7361</v>
      </c>
      <c r="L364">
        <v>1542</v>
      </c>
      <c r="M364">
        <v>14393</v>
      </c>
      <c r="N364" s="2">
        <v>45833</v>
      </c>
      <c r="O364" s="2">
        <v>45701</v>
      </c>
      <c r="P364" s="1" t="s">
        <v>25</v>
      </c>
      <c r="Q364" s="1" t="s">
        <v>9</v>
      </c>
      <c r="R364" s="1" t="s">
        <v>17</v>
      </c>
      <c r="S364">
        <v>888</v>
      </c>
      <c r="T364" s="1" t="s">
        <v>1059</v>
      </c>
    </row>
    <row r="365" spans="1:20" x14ac:dyDescent="0.3">
      <c r="A365" s="1" t="s">
        <v>1060</v>
      </c>
      <c r="B365" s="1" t="s">
        <v>1061</v>
      </c>
      <c r="C365">
        <v>82</v>
      </c>
      <c r="D365" s="1" t="s">
        <v>23</v>
      </c>
      <c r="E365" s="1" t="s">
        <v>27</v>
      </c>
      <c r="F365" s="1" t="s">
        <v>84</v>
      </c>
      <c r="G365" s="1" t="s">
        <v>125</v>
      </c>
      <c r="H365" s="1" t="s">
        <v>99</v>
      </c>
      <c r="I365">
        <v>411</v>
      </c>
      <c r="J365">
        <v>2665</v>
      </c>
      <c r="K365">
        <v>6488</v>
      </c>
      <c r="L365">
        <v>14427</v>
      </c>
      <c r="M365">
        <v>23991</v>
      </c>
      <c r="N365" s="2">
        <v>45717</v>
      </c>
      <c r="O365" s="2">
        <v>45684</v>
      </c>
      <c r="P365" s="1" t="s">
        <v>25</v>
      </c>
      <c r="Q365" s="1" t="s">
        <v>9</v>
      </c>
      <c r="R365" s="1" t="s">
        <v>17</v>
      </c>
      <c r="S365">
        <v>587</v>
      </c>
      <c r="T365" s="1" t="s">
        <v>1062</v>
      </c>
    </row>
    <row r="366" spans="1:20" x14ac:dyDescent="0.3">
      <c r="A366" s="1" t="s">
        <v>1063</v>
      </c>
      <c r="B366" s="1" t="s">
        <v>1064</v>
      </c>
      <c r="C366">
        <v>49</v>
      </c>
      <c r="D366" s="1" t="s">
        <v>12</v>
      </c>
      <c r="E366" s="1" t="s">
        <v>38</v>
      </c>
      <c r="F366" s="1" t="s">
        <v>135</v>
      </c>
      <c r="G366" s="1" t="s">
        <v>104</v>
      </c>
      <c r="H366" s="1" t="s">
        <v>165</v>
      </c>
      <c r="I366">
        <v>597</v>
      </c>
      <c r="J366">
        <v>4845</v>
      </c>
      <c r="K366">
        <v>7429</v>
      </c>
      <c r="L366">
        <v>8122</v>
      </c>
      <c r="M366">
        <v>20993</v>
      </c>
      <c r="N366" s="2">
        <v>45664</v>
      </c>
      <c r="O366" s="2">
        <v>45805</v>
      </c>
      <c r="P366" s="1" t="s">
        <v>116</v>
      </c>
      <c r="Q366" s="1" t="s">
        <v>21</v>
      </c>
      <c r="R366" s="1" t="s">
        <v>87</v>
      </c>
      <c r="S366">
        <v>799</v>
      </c>
      <c r="T366" s="1" t="s">
        <v>1065</v>
      </c>
    </row>
    <row r="367" spans="1:20" x14ac:dyDescent="0.3">
      <c r="A367" s="1" t="s">
        <v>1066</v>
      </c>
      <c r="B367" s="1" t="s">
        <v>625</v>
      </c>
      <c r="C367">
        <v>82</v>
      </c>
      <c r="D367" s="1" t="s">
        <v>12</v>
      </c>
      <c r="E367" s="1" t="s">
        <v>38</v>
      </c>
      <c r="F367" s="1" t="s">
        <v>120</v>
      </c>
      <c r="G367" s="1" t="s">
        <v>125</v>
      </c>
      <c r="H367" s="1" t="s">
        <v>165</v>
      </c>
      <c r="I367">
        <v>986</v>
      </c>
      <c r="J367">
        <v>2714</v>
      </c>
      <c r="K367">
        <v>2487</v>
      </c>
      <c r="L367">
        <v>14145</v>
      </c>
      <c r="M367">
        <v>20332</v>
      </c>
      <c r="N367" s="2">
        <v>45708</v>
      </c>
      <c r="O367" s="2">
        <v>45788</v>
      </c>
      <c r="P367" s="1" t="s">
        <v>136</v>
      </c>
      <c r="Q367" s="1" t="s">
        <v>31</v>
      </c>
      <c r="R367" s="1" t="s">
        <v>87</v>
      </c>
      <c r="S367">
        <v>788</v>
      </c>
      <c r="T367" s="1" t="s">
        <v>1067</v>
      </c>
    </row>
    <row r="368" spans="1:20" x14ac:dyDescent="0.3">
      <c r="A368" s="1" t="s">
        <v>1068</v>
      </c>
      <c r="B368" s="1" t="s">
        <v>1069</v>
      </c>
      <c r="C368">
        <v>44</v>
      </c>
      <c r="D368" s="1" t="s">
        <v>23</v>
      </c>
      <c r="E368" s="1" t="s">
        <v>27</v>
      </c>
      <c r="F368" s="1" t="s">
        <v>97</v>
      </c>
      <c r="G368" s="1" t="s">
        <v>91</v>
      </c>
      <c r="H368" s="1" t="s">
        <v>18</v>
      </c>
      <c r="I368">
        <v>317</v>
      </c>
      <c r="J368">
        <v>1056</v>
      </c>
      <c r="K368">
        <v>397</v>
      </c>
      <c r="L368">
        <v>7737</v>
      </c>
      <c r="M368">
        <v>9507</v>
      </c>
      <c r="N368" s="2">
        <v>45708</v>
      </c>
      <c r="O368" s="2">
        <v>45926</v>
      </c>
      <c r="P368" s="1" t="s">
        <v>35</v>
      </c>
      <c r="Q368" s="1" t="s">
        <v>31</v>
      </c>
      <c r="R368" s="1" t="s">
        <v>87</v>
      </c>
      <c r="S368">
        <v>390</v>
      </c>
      <c r="T368" s="1" t="s">
        <v>1070</v>
      </c>
    </row>
    <row r="369" spans="1:20" x14ac:dyDescent="0.3">
      <c r="A369" s="1" t="s">
        <v>1071</v>
      </c>
      <c r="B369" s="1" t="s">
        <v>491</v>
      </c>
      <c r="C369">
        <v>4</v>
      </c>
      <c r="D369" s="1" t="s">
        <v>23</v>
      </c>
      <c r="E369" s="1" t="s">
        <v>15</v>
      </c>
      <c r="F369" s="1" t="s">
        <v>103</v>
      </c>
      <c r="G369" s="1" t="s">
        <v>158</v>
      </c>
      <c r="H369" s="1" t="s">
        <v>115</v>
      </c>
      <c r="I369">
        <v>549</v>
      </c>
      <c r="J369">
        <v>1482</v>
      </c>
      <c r="K369">
        <v>1007</v>
      </c>
      <c r="L369">
        <v>10907</v>
      </c>
      <c r="M369">
        <v>13945</v>
      </c>
      <c r="N369" s="2">
        <v>45724</v>
      </c>
      <c r="O369" s="2">
        <v>45850</v>
      </c>
      <c r="P369" s="1" t="s">
        <v>136</v>
      </c>
      <c r="Q369" s="1" t="s">
        <v>31</v>
      </c>
      <c r="R369" s="1" t="s">
        <v>17</v>
      </c>
      <c r="S369">
        <v>401</v>
      </c>
      <c r="T369" s="1" t="s">
        <v>1072</v>
      </c>
    </row>
    <row r="370" spans="1:20" x14ac:dyDescent="0.3">
      <c r="A370" s="1" t="s">
        <v>1073</v>
      </c>
      <c r="B370" s="1" t="s">
        <v>407</v>
      </c>
      <c r="C370">
        <v>36</v>
      </c>
      <c r="D370" s="1" t="s">
        <v>12</v>
      </c>
      <c r="E370" s="1" t="s">
        <v>20</v>
      </c>
      <c r="F370" s="1" t="s">
        <v>97</v>
      </c>
      <c r="G370" s="1" t="s">
        <v>158</v>
      </c>
      <c r="H370" s="1" t="s">
        <v>165</v>
      </c>
      <c r="I370">
        <v>631</v>
      </c>
      <c r="J370">
        <v>1106</v>
      </c>
      <c r="K370">
        <v>2571</v>
      </c>
      <c r="L370">
        <v>13732</v>
      </c>
      <c r="M370">
        <v>18040</v>
      </c>
      <c r="N370" s="2">
        <v>45689</v>
      </c>
      <c r="O370" s="2">
        <v>45853</v>
      </c>
      <c r="P370" s="1" t="s">
        <v>93</v>
      </c>
      <c r="Q370" s="1" t="s">
        <v>21</v>
      </c>
      <c r="R370" s="1" t="s">
        <v>17</v>
      </c>
      <c r="S370">
        <v>282</v>
      </c>
      <c r="T370" s="1" t="s">
        <v>1074</v>
      </c>
    </row>
    <row r="371" spans="1:20" x14ac:dyDescent="0.3">
      <c r="A371" s="1" t="s">
        <v>1075</v>
      </c>
      <c r="B371" s="1" t="s">
        <v>605</v>
      </c>
      <c r="C371">
        <v>26</v>
      </c>
      <c r="D371" s="1" t="s">
        <v>12</v>
      </c>
      <c r="E371" s="1" t="s">
        <v>24</v>
      </c>
      <c r="F371" s="1" t="s">
        <v>109</v>
      </c>
      <c r="G371" s="1" t="s">
        <v>125</v>
      </c>
      <c r="H371" s="1" t="s">
        <v>215</v>
      </c>
      <c r="I371">
        <v>522</v>
      </c>
      <c r="J371">
        <v>1678</v>
      </c>
      <c r="K371">
        <v>4728</v>
      </c>
      <c r="L371">
        <v>13594</v>
      </c>
      <c r="M371">
        <v>20522</v>
      </c>
      <c r="N371" s="2">
        <v>45878</v>
      </c>
      <c r="O371" s="2">
        <v>45769</v>
      </c>
      <c r="P371" s="1" t="s">
        <v>136</v>
      </c>
      <c r="Q371" s="1" t="s">
        <v>21</v>
      </c>
      <c r="R371" s="1" t="s">
        <v>22</v>
      </c>
      <c r="S371">
        <v>135</v>
      </c>
      <c r="T371" s="1" t="s">
        <v>1076</v>
      </c>
    </row>
    <row r="372" spans="1:20" x14ac:dyDescent="0.3">
      <c r="A372" s="1" t="s">
        <v>1077</v>
      </c>
      <c r="B372" s="1" t="s">
        <v>1078</v>
      </c>
      <c r="C372">
        <v>33</v>
      </c>
      <c r="D372" s="1" t="s">
        <v>12</v>
      </c>
      <c r="E372" s="1" t="s">
        <v>15</v>
      </c>
      <c r="F372" s="1" t="s">
        <v>103</v>
      </c>
      <c r="G372" s="1" t="s">
        <v>104</v>
      </c>
      <c r="H372" s="1" t="s">
        <v>215</v>
      </c>
      <c r="I372">
        <v>604</v>
      </c>
      <c r="J372">
        <v>507</v>
      </c>
      <c r="K372">
        <v>7942</v>
      </c>
      <c r="L372">
        <v>1619</v>
      </c>
      <c r="M372">
        <v>10672</v>
      </c>
      <c r="N372" s="2">
        <v>45998</v>
      </c>
      <c r="O372" s="2">
        <v>45857</v>
      </c>
      <c r="P372" s="1" t="s">
        <v>14</v>
      </c>
      <c r="Q372" s="1" t="s">
        <v>21</v>
      </c>
      <c r="R372" s="1" t="s">
        <v>17</v>
      </c>
      <c r="S372">
        <v>688</v>
      </c>
      <c r="T372" s="1" t="s">
        <v>1079</v>
      </c>
    </row>
    <row r="373" spans="1:20" x14ac:dyDescent="0.3">
      <c r="A373" s="1" t="s">
        <v>1080</v>
      </c>
      <c r="B373" s="1" t="s">
        <v>877</v>
      </c>
      <c r="C373">
        <v>62</v>
      </c>
      <c r="D373" s="1" t="s">
        <v>12</v>
      </c>
      <c r="E373" s="1" t="s">
        <v>20</v>
      </c>
      <c r="F373" s="1" t="s">
        <v>120</v>
      </c>
      <c r="G373" s="1" t="s">
        <v>91</v>
      </c>
      <c r="H373" s="1" t="s">
        <v>37</v>
      </c>
      <c r="I373">
        <v>1406</v>
      </c>
      <c r="J373">
        <v>2350</v>
      </c>
      <c r="K373">
        <v>327</v>
      </c>
      <c r="L373">
        <v>7298</v>
      </c>
      <c r="M373">
        <v>11381</v>
      </c>
      <c r="N373" s="2">
        <v>46010</v>
      </c>
      <c r="O373" s="2">
        <v>45904</v>
      </c>
      <c r="P373" s="1" t="s">
        <v>35</v>
      </c>
      <c r="Q373" s="1" t="s">
        <v>21</v>
      </c>
      <c r="R373" s="1" t="s">
        <v>17</v>
      </c>
      <c r="S373">
        <v>156</v>
      </c>
      <c r="T373" s="1" t="s">
        <v>1081</v>
      </c>
    </row>
    <row r="374" spans="1:20" x14ac:dyDescent="0.3">
      <c r="A374" s="1" t="s">
        <v>1082</v>
      </c>
      <c r="B374" s="1" t="s">
        <v>734</v>
      </c>
      <c r="C374">
        <v>69</v>
      </c>
      <c r="D374" s="1" t="s">
        <v>12</v>
      </c>
      <c r="E374" s="1" t="s">
        <v>36</v>
      </c>
      <c r="F374" s="1" t="s">
        <v>114</v>
      </c>
      <c r="G374" s="1" t="s">
        <v>104</v>
      </c>
      <c r="H374" s="1" t="s">
        <v>92</v>
      </c>
      <c r="I374">
        <v>893</v>
      </c>
      <c r="J374">
        <v>2163</v>
      </c>
      <c r="K374">
        <v>1746</v>
      </c>
      <c r="L374">
        <v>10084</v>
      </c>
      <c r="M374">
        <v>14886</v>
      </c>
      <c r="N374" s="2">
        <v>45678</v>
      </c>
      <c r="O374" s="2">
        <v>45854</v>
      </c>
      <c r="P374" s="1" t="s">
        <v>19</v>
      </c>
      <c r="Q374" s="1" t="s">
        <v>9</v>
      </c>
      <c r="R374" s="1" t="s">
        <v>22</v>
      </c>
      <c r="S374">
        <v>745</v>
      </c>
      <c r="T374" s="1" t="s">
        <v>1083</v>
      </c>
    </row>
    <row r="375" spans="1:20" x14ac:dyDescent="0.3">
      <c r="A375" s="1" t="s">
        <v>1084</v>
      </c>
      <c r="B375" s="1" t="s">
        <v>1085</v>
      </c>
      <c r="C375">
        <v>11</v>
      </c>
      <c r="D375" s="1" t="s">
        <v>12</v>
      </c>
      <c r="E375" s="1" t="s">
        <v>38</v>
      </c>
      <c r="F375" s="1" t="s">
        <v>84</v>
      </c>
      <c r="G375" s="1" t="s">
        <v>158</v>
      </c>
      <c r="H375" s="1" t="s">
        <v>86</v>
      </c>
      <c r="I375">
        <v>373</v>
      </c>
      <c r="J375">
        <v>2081</v>
      </c>
      <c r="K375">
        <v>507</v>
      </c>
      <c r="L375">
        <v>12792</v>
      </c>
      <c r="M375">
        <v>15753</v>
      </c>
      <c r="N375" s="2">
        <v>45961</v>
      </c>
      <c r="O375" s="2">
        <v>45780</v>
      </c>
      <c r="P375" s="1" t="s">
        <v>116</v>
      </c>
      <c r="Q375" s="1" t="s">
        <v>21</v>
      </c>
      <c r="R375" s="1" t="s">
        <v>17</v>
      </c>
      <c r="S375">
        <v>646</v>
      </c>
      <c r="T375" s="1" t="s">
        <v>1086</v>
      </c>
    </row>
    <row r="376" spans="1:20" x14ac:dyDescent="0.3">
      <c r="A376" s="1" t="s">
        <v>1087</v>
      </c>
      <c r="B376" s="1" t="s">
        <v>43</v>
      </c>
      <c r="C376">
        <v>5</v>
      </c>
      <c r="D376" s="1" t="s">
        <v>12</v>
      </c>
      <c r="E376" s="1" t="s">
        <v>27</v>
      </c>
      <c r="F376" s="1" t="s">
        <v>103</v>
      </c>
      <c r="G376" s="1" t="s">
        <v>104</v>
      </c>
      <c r="H376" s="1" t="s">
        <v>186</v>
      </c>
      <c r="I376">
        <v>387</v>
      </c>
      <c r="J376">
        <v>3821</v>
      </c>
      <c r="K376">
        <v>1268</v>
      </c>
      <c r="L376">
        <v>4468</v>
      </c>
      <c r="M376">
        <v>9944</v>
      </c>
      <c r="N376" s="2">
        <v>45992</v>
      </c>
      <c r="O376" s="2">
        <v>45999</v>
      </c>
      <c r="P376" s="1" t="s">
        <v>110</v>
      </c>
      <c r="Q376" s="1" t="s">
        <v>31</v>
      </c>
      <c r="R376" s="1" t="s">
        <v>87</v>
      </c>
      <c r="S376">
        <v>693</v>
      </c>
      <c r="T376" s="1" t="s">
        <v>1088</v>
      </c>
    </row>
    <row r="377" spans="1:20" x14ac:dyDescent="0.3">
      <c r="A377" s="1" t="s">
        <v>1089</v>
      </c>
      <c r="B377" s="1" t="s">
        <v>502</v>
      </c>
      <c r="C377">
        <v>19</v>
      </c>
      <c r="D377" s="1" t="s">
        <v>12</v>
      </c>
      <c r="E377" s="1" t="s">
        <v>33</v>
      </c>
      <c r="F377" s="1" t="s">
        <v>103</v>
      </c>
      <c r="G377" s="1" t="s">
        <v>91</v>
      </c>
      <c r="H377" s="1" t="s">
        <v>215</v>
      </c>
      <c r="I377">
        <v>393</v>
      </c>
      <c r="J377">
        <v>2488</v>
      </c>
      <c r="K377">
        <v>6045</v>
      </c>
      <c r="L377">
        <v>11629</v>
      </c>
      <c r="M377">
        <v>20555</v>
      </c>
      <c r="N377" s="2">
        <v>45724</v>
      </c>
      <c r="O377" s="2">
        <v>45665</v>
      </c>
      <c r="P377" s="1" t="s">
        <v>25</v>
      </c>
      <c r="Q377" s="1" t="s">
        <v>16</v>
      </c>
      <c r="R377" s="1" t="s">
        <v>17</v>
      </c>
      <c r="S377">
        <v>725</v>
      </c>
      <c r="T377" s="1" t="s">
        <v>1090</v>
      </c>
    </row>
    <row r="378" spans="1:20" x14ac:dyDescent="0.3">
      <c r="A378" s="1" t="s">
        <v>1091</v>
      </c>
      <c r="B378" s="1" t="s">
        <v>1092</v>
      </c>
      <c r="C378">
        <v>14</v>
      </c>
      <c r="D378" s="1" t="s">
        <v>23</v>
      </c>
      <c r="E378" s="1" t="s">
        <v>24</v>
      </c>
      <c r="F378" s="1" t="s">
        <v>135</v>
      </c>
      <c r="G378" s="1" t="s">
        <v>104</v>
      </c>
      <c r="H378" s="1" t="s">
        <v>105</v>
      </c>
      <c r="I378">
        <v>429</v>
      </c>
      <c r="J378">
        <v>2160</v>
      </c>
      <c r="K378">
        <v>3791</v>
      </c>
      <c r="L378">
        <v>6527</v>
      </c>
      <c r="M378">
        <v>12907</v>
      </c>
      <c r="N378" s="2">
        <v>46005</v>
      </c>
      <c r="O378" s="2">
        <v>45863</v>
      </c>
      <c r="P378" s="1" t="s">
        <v>177</v>
      </c>
      <c r="Q378" s="1" t="s">
        <v>31</v>
      </c>
      <c r="R378" s="1" t="s">
        <v>17</v>
      </c>
      <c r="S378">
        <v>956</v>
      </c>
      <c r="T378" s="1" t="s">
        <v>1093</v>
      </c>
    </row>
    <row r="379" spans="1:20" x14ac:dyDescent="0.3">
      <c r="A379" s="1" t="s">
        <v>1094</v>
      </c>
      <c r="B379" s="1" t="s">
        <v>491</v>
      </c>
      <c r="C379">
        <v>76</v>
      </c>
      <c r="D379" s="1" t="s">
        <v>23</v>
      </c>
      <c r="E379" s="1" t="s">
        <v>15</v>
      </c>
      <c r="F379" s="1" t="s">
        <v>97</v>
      </c>
      <c r="G379" s="1" t="s">
        <v>125</v>
      </c>
      <c r="H379" s="1" t="s">
        <v>37</v>
      </c>
      <c r="I379">
        <v>547</v>
      </c>
      <c r="J379">
        <v>2743</v>
      </c>
      <c r="K379">
        <v>1457</v>
      </c>
      <c r="L379">
        <v>13411</v>
      </c>
      <c r="M379">
        <v>18158</v>
      </c>
      <c r="N379" s="2">
        <v>45870</v>
      </c>
      <c r="O379" s="2">
        <v>45744</v>
      </c>
      <c r="P379" s="1" t="s">
        <v>177</v>
      </c>
      <c r="Q379" s="1" t="s">
        <v>31</v>
      </c>
      <c r="R379" s="1" t="s">
        <v>87</v>
      </c>
      <c r="S379">
        <v>141</v>
      </c>
      <c r="T379" s="1" t="s">
        <v>1095</v>
      </c>
    </row>
    <row r="380" spans="1:20" x14ac:dyDescent="0.3">
      <c r="A380" s="1" t="s">
        <v>1096</v>
      </c>
      <c r="B380" s="1" t="s">
        <v>1097</v>
      </c>
      <c r="C380">
        <v>49</v>
      </c>
      <c r="D380" s="1" t="s">
        <v>23</v>
      </c>
      <c r="E380" s="1" t="s">
        <v>36</v>
      </c>
      <c r="F380" s="1" t="s">
        <v>103</v>
      </c>
      <c r="G380" s="1" t="s">
        <v>125</v>
      </c>
      <c r="H380" s="1" t="s">
        <v>215</v>
      </c>
      <c r="I380">
        <v>465</v>
      </c>
      <c r="J380">
        <v>552</v>
      </c>
      <c r="K380">
        <v>359</v>
      </c>
      <c r="L380">
        <v>3939</v>
      </c>
      <c r="M380">
        <v>5315</v>
      </c>
      <c r="N380" s="2">
        <v>45703</v>
      </c>
      <c r="O380" s="2">
        <v>46019</v>
      </c>
      <c r="P380" s="1" t="s">
        <v>136</v>
      </c>
      <c r="Q380" s="1" t="s">
        <v>9</v>
      </c>
      <c r="R380" s="1" t="s">
        <v>87</v>
      </c>
      <c r="S380">
        <v>229</v>
      </c>
      <c r="T380" s="1" t="s">
        <v>1098</v>
      </c>
    </row>
    <row r="381" spans="1:20" x14ac:dyDescent="0.3">
      <c r="A381" s="1" t="s">
        <v>1099</v>
      </c>
      <c r="B381" s="1" t="s">
        <v>164</v>
      </c>
      <c r="C381">
        <v>67</v>
      </c>
      <c r="D381" s="1" t="s">
        <v>12</v>
      </c>
      <c r="E381" s="1" t="s">
        <v>36</v>
      </c>
      <c r="F381" s="1" t="s">
        <v>120</v>
      </c>
      <c r="G381" s="1" t="s">
        <v>91</v>
      </c>
      <c r="H381" s="1" t="s">
        <v>105</v>
      </c>
      <c r="I381">
        <v>657</v>
      </c>
      <c r="J381">
        <v>808</v>
      </c>
      <c r="K381">
        <v>5184</v>
      </c>
      <c r="L381">
        <v>3949</v>
      </c>
      <c r="M381">
        <v>10598</v>
      </c>
      <c r="N381" s="2">
        <v>45913</v>
      </c>
      <c r="O381" s="2">
        <v>45971</v>
      </c>
      <c r="P381" s="1" t="s">
        <v>35</v>
      </c>
      <c r="Q381" s="1" t="s">
        <v>9</v>
      </c>
      <c r="R381" s="1" t="s">
        <v>22</v>
      </c>
      <c r="S381">
        <v>671</v>
      </c>
      <c r="T381" s="1" t="s">
        <v>1100</v>
      </c>
    </row>
    <row r="382" spans="1:20" x14ac:dyDescent="0.3">
      <c r="A382" s="1" t="s">
        <v>1101</v>
      </c>
      <c r="B382" s="1" t="s">
        <v>1102</v>
      </c>
      <c r="C382">
        <v>68</v>
      </c>
      <c r="D382" s="1" t="s">
        <v>23</v>
      </c>
      <c r="E382" s="1" t="s">
        <v>27</v>
      </c>
      <c r="F382" s="1" t="s">
        <v>97</v>
      </c>
      <c r="G382" s="1" t="s">
        <v>125</v>
      </c>
      <c r="H382" s="1" t="s">
        <v>105</v>
      </c>
      <c r="I382">
        <v>1250</v>
      </c>
      <c r="J382">
        <v>2204</v>
      </c>
      <c r="K382">
        <v>2564</v>
      </c>
      <c r="L382">
        <v>1869</v>
      </c>
      <c r="M382">
        <v>7887</v>
      </c>
      <c r="N382" s="2">
        <v>45757</v>
      </c>
      <c r="O382" s="2">
        <v>45715</v>
      </c>
      <c r="P382" s="1" t="s">
        <v>25</v>
      </c>
      <c r="Q382" s="1" t="s">
        <v>31</v>
      </c>
      <c r="R382" s="1" t="s">
        <v>22</v>
      </c>
      <c r="S382">
        <v>786</v>
      </c>
      <c r="T382" s="1" t="s">
        <v>1103</v>
      </c>
    </row>
    <row r="383" spans="1:20" x14ac:dyDescent="0.3">
      <c r="A383" s="1" t="s">
        <v>1104</v>
      </c>
      <c r="B383" s="1" t="s">
        <v>349</v>
      </c>
      <c r="C383">
        <v>83</v>
      </c>
      <c r="D383" s="1" t="s">
        <v>12</v>
      </c>
      <c r="E383" s="1" t="s">
        <v>33</v>
      </c>
      <c r="F383" s="1" t="s">
        <v>124</v>
      </c>
      <c r="G383" s="1" t="s">
        <v>98</v>
      </c>
      <c r="H383" s="1" t="s">
        <v>115</v>
      </c>
      <c r="I383">
        <v>1190</v>
      </c>
      <c r="J383">
        <v>2559</v>
      </c>
      <c r="K383">
        <v>3038</v>
      </c>
      <c r="L383">
        <v>11105</v>
      </c>
      <c r="M383">
        <v>17892</v>
      </c>
      <c r="N383" s="2">
        <v>45890</v>
      </c>
      <c r="O383" s="2">
        <v>45680</v>
      </c>
      <c r="P383" s="1" t="s">
        <v>35</v>
      </c>
      <c r="Q383" s="1" t="s">
        <v>31</v>
      </c>
      <c r="R383" s="1" t="s">
        <v>22</v>
      </c>
      <c r="S383">
        <v>904</v>
      </c>
      <c r="T383" s="1" t="s">
        <v>1105</v>
      </c>
    </row>
    <row r="384" spans="1:20" x14ac:dyDescent="0.3">
      <c r="A384" s="1" t="s">
        <v>1106</v>
      </c>
      <c r="B384" s="1" t="s">
        <v>1107</v>
      </c>
      <c r="C384">
        <v>15</v>
      </c>
      <c r="D384" s="1" t="s">
        <v>23</v>
      </c>
      <c r="E384" s="1" t="s">
        <v>24</v>
      </c>
      <c r="F384" s="1" t="s">
        <v>84</v>
      </c>
      <c r="G384" s="1" t="s">
        <v>91</v>
      </c>
      <c r="H384" s="1" t="s">
        <v>92</v>
      </c>
      <c r="I384">
        <v>1487</v>
      </c>
      <c r="J384">
        <v>3170</v>
      </c>
      <c r="K384">
        <v>3732</v>
      </c>
      <c r="L384">
        <v>4256</v>
      </c>
      <c r="M384">
        <v>12645</v>
      </c>
      <c r="N384" s="2">
        <v>46004</v>
      </c>
      <c r="O384" s="2">
        <v>45824</v>
      </c>
      <c r="P384" s="1" t="s">
        <v>19</v>
      </c>
      <c r="Q384" s="1" t="s">
        <v>31</v>
      </c>
      <c r="R384" s="1" t="s">
        <v>22</v>
      </c>
      <c r="S384">
        <v>342</v>
      </c>
      <c r="T384" s="1" t="s">
        <v>1108</v>
      </c>
    </row>
    <row r="385" spans="1:20" x14ac:dyDescent="0.3">
      <c r="A385" s="1" t="s">
        <v>1109</v>
      </c>
      <c r="B385" s="1" t="s">
        <v>58</v>
      </c>
      <c r="C385">
        <v>49</v>
      </c>
      <c r="D385" s="1" t="s">
        <v>23</v>
      </c>
      <c r="E385" s="1" t="s">
        <v>27</v>
      </c>
      <c r="F385" s="1" t="s">
        <v>114</v>
      </c>
      <c r="G385" s="1" t="s">
        <v>85</v>
      </c>
      <c r="H385" s="1" t="s">
        <v>215</v>
      </c>
      <c r="I385">
        <v>1498</v>
      </c>
      <c r="J385">
        <v>4468</v>
      </c>
      <c r="K385">
        <v>745</v>
      </c>
      <c r="L385">
        <v>8141</v>
      </c>
      <c r="M385">
        <v>14852</v>
      </c>
      <c r="N385" s="2">
        <v>45732</v>
      </c>
      <c r="O385" s="2">
        <v>45768</v>
      </c>
      <c r="P385" s="1" t="s">
        <v>136</v>
      </c>
      <c r="Q385" s="1" t="s">
        <v>9</v>
      </c>
      <c r="R385" s="1" t="s">
        <v>17</v>
      </c>
      <c r="S385">
        <v>239</v>
      </c>
      <c r="T385" s="1" t="s">
        <v>1110</v>
      </c>
    </row>
    <row r="386" spans="1:20" x14ac:dyDescent="0.3">
      <c r="A386" s="1" t="s">
        <v>1111</v>
      </c>
      <c r="B386" s="1" t="s">
        <v>1112</v>
      </c>
      <c r="C386">
        <v>35</v>
      </c>
      <c r="D386" s="1" t="s">
        <v>23</v>
      </c>
      <c r="E386" s="1" t="s">
        <v>38</v>
      </c>
      <c r="F386" s="1" t="s">
        <v>97</v>
      </c>
      <c r="G386" s="1" t="s">
        <v>85</v>
      </c>
      <c r="H386" s="1" t="s">
        <v>86</v>
      </c>
      <c r="I386">
        <v>365</v>
      </c>
      <c r="J386">
        <v>988</v>
      </c>
      <c r="K386">
        <v>2598</v>
      </c>
      <c r="L386">
        <v>3236</v>
      </c>
      <c r="M386">
        <v>7187</v>
      </c>
      <c r="N386" s="2">
        <v>45714</v>
      </c>
      <c r="O386" s="2">
        <v>45896</v>
      </c>
      <c r="P386" s="1" t="s">
        <v>116</v>
      </c>
      <c r="Q386" s="1" t="s">
        <v>21</v>
      </c>
      <c r="R386" s="1" t="s">
        <v>22</v>
      </c>
      <c r="S386">
        <v>402</v>
      </c>
      <c r="T386" s="1" t="s">
        <v>1113</v>
      </c>
    </row>
    <row r="387" spans="1:20" x14ac:dyDescent="0.3">
      <c r="A387" s="1" t="s">
        <v>1114</v>
      </c>
      <c r="B387" s="1" t="s">
        <v>412</v>
      </c>
      <c r="C387">
        <v>22</v>
      </c>
      <c r="D387" s="1" t="s">
        <v>23</v>
      </c>
      <c r="E387" s="1" t="s">
        <v>36</v>
      </c>
      <c r="F387" s="1" t="s">
        <v>114</v>
      </c>
      <c r="G387" s="1" t="s">
        <v>158</v>
      </c>
      <c r="H387" s="1" t="s">
        <v>199</v>
      </c>
      <c r="I387">
        <v>1368</v>
      </c>
      <c r="J387">
        <v>4507</v>
      </c>
      <c r="K387">
        <v>7363</v>
      </c>
      <c r="L387">
        <v>4546</v>
      </c>
      <c r="M387">
        <v>17784</v>
      </c>
      <c r="N387" s="2">
        <v>45960</v>
      </c>
      <c r="O387" s="2">
        <v>45900</v>
      </c>
      <c r="P387" s="1" t="s">
        <v>116</v>
      </c>
      <c r="Q387" s="1" t="s">
        <v>9</v>
      </c>
      <c r="R387" s="1" t="s">
        <v>87</v>
      </c>
      <c r="S387">
        <v>993</v>
      </c>
      <c r="T387" s="1" t="s">
        <v>1115</v>
      </c>
    </row>
    <row r="388" spans="1:20" x14ac:dyDescent="0.3">
      <c r="A388" s="1" t="s">
        <v>1116</v>
      </c>
      <c r="B388" s="1" t="s">
        <v>880</v>
      </c>
      <c r="C388">
        <v>56</v>
      </c>
      <c r="D388" s="1" t="s">
        <v>23</v>
      </c>
      <c r="E388" s="1" t="s">
        <v>38</v>
      </c>
      <c r="F388" s="1" t="s">
        <v>109</v>
      </c>
      <c r="G388" s="1" t="s">
        <v>125</v>
      </c>
      <c r="H388" s="1" t="s">
        <v>18</v>
      </c>
      <c r="I388">
        <v>1155</v>
      </c>
      <c r="J388">
        <v>862</v>
      </c>
      <c r="K388">
        <v>628</v>
      </c>
      <c r="L388">
        <v>8711</v>
      </c>
      <c r="M388">
        <v>11356</v>
      </c>
      <c r="N388" s="2">
        <v>45916</v>
      </c>
      <c r="O388" s="2">
        <v>45675</v>
      </c>
      <c r="P388" s="1" t="s">
        <v>93</v>
      </c>
      <c r="Q388" s="1" t="s">
        <v>16</v>
      </c>
      <c r="R388" s="1" t="s">
        <v>17</v>
      </c>
      <c r="S388">
        <v>607</v>
      </c>
      <c r="T388" s="1" t="s">
        <v>1117</v>
      </c>
    </row>
    <row r="389" spans="1:20" x14ac:dyDescent="0.3">
      <c r="A389" s="1" t="s">
        <v>1118</v>
      </c>
      <c r="B389" s="1" t="s">
        <v>401</v>
      </c>
      <c r="C389">
        <v>2</v>
      </c>
      <c r="D389" s="1" t="s">
        <v>12</v>
      </c>
      <c r="E389" s="1" t="s">
        <v>36</v>
      </c>
      <c r="F389" s="1" t="s">
        <v>84</v>
      </c>
      <c r="G389" s="1" t="s">
        <v>85</v>
      </c>
      <c r="H389" s="1" t="s">
        <v>86</v>
      </c>
      <c r="I389">
        <v>1034</v>
      </c>
      <c r="J389">
        <v>2923</v>
      </c>
      <c r="K389">
        <v>2258</v>
      </c>
      <c r="L389">
        <v>11610</v>
      </c>
      <c r="M389">
        <v>17825</v>
      </c>
      <c r="N389" s="2">
        <v>45704</v>
      </c>
      <c r="O389" s="2">
        <v>45666</v>
      </c>
      <c r="P389" s="1" t="s">
        <v>116</v>
      </c>
      <c r="Q389" s="1" t="s">
        <v>9</v>
      </c>
      <c r="R389" s="1" t="s">
        <v>87</v>
      </c>
      <c r="S389">
        <v>865</v>
      </c>
      <c r="T389" s="1" t="s">
        <v>1119</v>
      </c>
    </row>
    <row r="390" spans="1:20" x14ac:dyDescent="0.3">
      <c r="A390" s="1" t="s">
        <v>1120</v>
      </c>
      <c r="B390" s="1" t="s">
        <v>1121</v>
      </c>
      <c r="C390">
        <v>60</v>
      </c>
      <c r="D390" s="1" t="s">
        <v>23</v>
      </c>
      <c r="E390" s="1" t="s">
        <v>38</v>
      </c>
      <c r="F390" s="1" t="s">
        <v>120</v>
      </c>
      <c r="G390" s="1" t="s">
        <v>104</v>
      </c>
      <c r="H390" s="1" t="s">
        <v>145</v>
      </c>
      <c r="I390">
        <v>1058</v>
      </c>
      <c r="J390">
        <v>4303</v>
      </c>
      <c r="K390">
        <v>6066</v>
      </c>
      <c r="L390">
        <v>11377</v>
      </c>
      <c r="M390">
        <v>22804</v>
      </c>
      <c r="N390" s="2">
        <v>45658</v>
      </c>
      <c r="O390" s="2">
        <v>45979</v>
      </c>
      <c r="P390" s="1" t="s">
        <v>35</v>
      </c>
      <c r="Q390" s="1" t="s">
        <v>21</v>
      </c>
      <c r="R390" s="1" t="s">
        <v>87</v>
      </c>
      <c r="S390">
        <v>133</v>
      </c>
      <c r="T390" s="1" t="s">
        <v>1122</v>
      </c>
    </row>
    <row r="391" spans="1:20" x14ac:dyDescent="0.3">
      <c r="A391" s="1" t="s">
        <v>1123</v>
      </c>
      <c r="B391" s="1" t="s">
        <v>803</v>
      </c>
      <c r="C391">
        <v>79</v>
      </c>
      <c r="D391" s="1" t="s">
        <v>23</v>
      </c>
      <c r="E391" s="1" t="s">
        <v>38</v>
      </c>
      <c r="F391" s="1" t="s">
        <v>114</v>
      </c>
      <c r="G391" s="1" t="s">
        <v>91</v>
      </c>
      <c r="H391" s="1" t="s">
        <v>186</v>
      </c>
      <c r="I391">
        <v>412</v>
      </c>
      <c r="J391">
        <v>4716</v>
      </c>
      <c r="K391">
        <v>7754</v>
      </c>
      <c r="L391">
        <v>12053</v>
      </c>
      <c r="M391">
        <v>24935</v>
      </c>
      <c r="N391" s="2">
        <v>45844</v>
      </c>
      <c r="O391" s="2">
        <v>45684</v>
      </c>
      <c r="P391" s="1" t="s">
        <v>35</v>
      </c>
      <c r="Q391" s="1" t="s">
        <v>9</v>
      </c>
      <c r="R391" s="1" t="s">
        <v>87</v>
      </c>
      <c r="S391">
        <v>141</v>
      </c>
      <c r="T391" s="1" t="s">
        <v>1124</v>
      </c>
    </row>
    <row r="392" spans="1:20" x14ac:dyDescent="0.3">
      <c r="A392" s="1" t="s">
        <v>1125</v>
      </c>
      <c r="B392" s="1" t="s">
        <v>1126</v>
      </c>
      <c r="C392">
        <v>83</v>
      </c>
      <c r="D392" s="1" t="s">
        <v>23</v>
      </c>
      <c r="E392" s="1" t="s">
        <v>40</v>
      </c>
      <c r="F392" s="1" t="s">
        <v>84</v>
      </c>
      <c r="G392" s="1" t="s">
        <v>176</v>
      </c>
      <c r="H392" s="1" t="s">
        <v>86</v>
      </c>
      <c r="I392">
        <v>985</v>
      </c>
      <c r="J392">
        <v>2454</v>
      </c>
      <c r="K392">
        <v>4720</v>
      </c>
      <c r="L392">
        <v>2860</v>
      </c>
      <c r="M392">
        <v>11019</v>
      </c>
      <c r="N392" s="2">
        <v>45990</v>
      </c>
      <c r="O392" s="2">
        <v>45902</v>
      </c>
      <c r="P392" s="1" t="s">
        <v>136</v>
      </c>
      <c r="Q392" s="1" t="s">
        <v>31</v>
      </c>
      <c r="R392" s="1" t="s">
        <v>17</v>
      </c>
      <c r="S392">
        <v>461</v>
      </c>
      <c r="T392" s="1" t="s">
        <v>1127</v>
      </c>
    </row>
    <row r="393" spans="1:20" x14ac:dyDescent="0.3">
      <c r="A393" s="1" t="s">
        <v>1128</v>
      </c>
      <c r="B393" s="1" t="s">
        <v>128</v>
      </c>
      <c r="C393">
        <v>55</v>
      </c>
      <c r="D393" s="1" t="s">
        <v>12</v>
      </c>
      <c r="E393" s="1" t="s">
        <v>27</v>
      </c>
      <c r="F393" s="1" t="s">
        <v>103</v>
      </c>
      <c r="G393" s="1" t="s">
        <v>104</v>
      </c>
      <c r="H393" s="1" t="s">
        <v>37</v>
      </c>
      <c r="I393">
        <v>1063</v>
      </c>
      <c r="J393">
        <v>3328</v>
      </c>
      <c r="K393">
        <v>4006</v>
      </c>
      <c r="L393">
        <v>8966</v>
      </c>
      <c r="M393">
        <v>17363</v>
      </c>
      <c r="N393" s="2">
        <v>45914</v>
      </c>
      <c r="O393" s="2">
        <v>45927</v>
      </c>
      <c r="P393" s="1" t="s">
        <v>35</v>
      </c>
      <c r="Q393" s="1" t="s">
        <v>21</v>
      </c>
      <c r="R393" s="1" t="s">
        <v>17</v>
      </c>
      <c r="S393">
        <v>735</v>
      </c>
      <c r="T393" s="1" t="s">
        <v>1129</v>
      </c>
    </row>
    <row r="394" spans="1:20" x14ac:dyDescent="0.3">
      <c r="A394" s="1" t="s">
        <v>1130</v>
      </c>
      <c r="B394" s="1" t="s">
        <v>800</v>
      </c>
      <c r="C394">
        <v>59</v>
      </c>
      <c r="D394" s="1" t="s">
        <v>23</v>
      </c>
      <c r="E394" s="1" t="s">
        <v>15</v>
      </c>
      <c r="F394" s="1" t="s">
        <v>114</v>
      </c>
      <c r="G394" s="1" t="s">
        <v>125</v>
      </c>
      <c r="H394" s="1" t="s">
        <v>155</v>
      </c>
      <c r="I394">
        <v>666</v>
      </c>
      <c r="J394">
        <v>2862</v>
      </c>
      <c r="K394">
        <v>930</v>
      </c>
      <c r="L394">
        <v>2791</v>
      </c>
      <c r="M394">
        <v>7249</v>
      </c>
      <c r="N394" s="2">
        <v>45742</v>
      </c>
      <c r="O394" s="2">
        <v>45799</v>
      </c>
      <c r="P394" s="1" t="s">
        <v>35</v>
      </c>
      <c r="Q394" s="1" t="s">
        <v>31</v>
      </c>
      <c r="R394" s="1" t="s">
        <v>22</v>
      </c>
      <c r="S394">
        <v>633</v>
      </c>
      <c r="T394" s="1" t="s">
        <v>1131</v>
      </c>
    </row>
    <row r="395" spans="1:20" x14ac:dyDescent="0.3">
      <c r="A395" s="1" t="s">
        <v>1132</v>
      </c>
      <c r="B395" s="1" t="s">
        <v>189</v>
      </c>
      <c r="C395">
        <v>54</v>
      </c>
      <c r="D395" s="1" t="s">
        <v>23</v>
      </c>
      <c r="E395" s="1" t="s">
        <v>24</v>
      </c>
      <c r="F395" s="1" t="s">
        <v>135</v>
      </c>
      <c r="G395" s="1" t="s">
        <v>158</v>
      </c>
      <c r="H395" s="1" t="s">
        <v>99</v>
      </c>
      <c r="I395">
        <v>1160</v>
      </c>
      <c r="J395">
        <v>4136</v>
      </c>
      <c r="K395">
        <v>6343</v>
      </c>
      <c r="L395">
        <v>11562</v>
      </c>
      <c r="M395">
        <v>23201</v>
      </c>
      <c r="N395" s="2">
        <v>45668</v>
      </c>
      <c r="O395" s="2">
        <v>45807</v>
      </c>
      <c r="P395" s="1" t="s">
        <v>19</v>
      </c>
      <c r="Q395" s="1" t="s">
        <v>31</v>
      </c>
      <c r="R395" s="1" t="s">
        <v>87</v>
      </c>
      <c r="S395">
        <v>760</v>
      </c>
      <c r="T395" s="1" t="s">
        <v>1133</v>
      </c>
    </row>
    <row r="396" spans="1:20" x14ac:dyDescent="0.3">
      <c r="A396" s="1" t="s">
        <v>1134</v>
      </c>
      <c r="B396" s="1" t="s">
        <v>1135</v>
      </c>
      <c r="C396">
        <v>44</v>
      </c>
      <c r="D396" s="1" t="s">
        <v>12</v>
      </c>
      <c r="E396" s="1" t="s">
        <v>40</v>
      </c>
      <c r="F396" s="1" t="s">
        <v>135</v>
      </c>
      <c r="G396" s="1" t="s">
        <v>125</v>
      </c>
      <c r="H396" s="1" t="s">
        <v>92</v>
      </c>
      <c r="I396">
        <v>1237</v>
      </c>
      <c r="J396">
        <v>2991</v>
      </c>
      <c r="K396">
        <v>4946</v>
      </c>
      <c r="L396">
        <v>3161</v>
      </c>
      <c r="M396">
        <v>12335</v>
      </c>
      <c r="N396" s="2">
        <v>45814</v>
      </c>
      <c r="O396" s="2">
        <v>45745</v>
      </c>
      <c r="P396" s="1" t="s">
        <v>14</v>
      </c>
      <c r="Q396" s="1" t="s">
        <v>21</v>
      </c>
      <c r="R396" s="1" t="s">
        <v>17</v>
      </c>
      <c r="S396">
        <v>888</v>
      </c>
      <c r="T396" s="1" t="s">
        <v>1136</v>
      </c>
    </row>
    <row r="397" spans="1:20" x14ac:dyDescent="0.3">
      <c r="A397" s="1" t="s">
        <v>1137</v>
      </c>
      <c r="B397" s="1" t="s">
        <v>1138</v>
      </c>
      <c r="C397">
        <v>46</v>
      </c>
      <c r="D397" s="1" t="s">
        <v>12</v>
      </c>
      <c r="E397" s="1" t="s">
        <v>15</v>
      </c>
      <c r="F397" s="1" t="s">
        <v>135</v>
      </c>
      <c r="G397" s="1" t="s">
        <v>85</v>
      </c>
      <c r="H397" s="1" t="s">
        <v>145</v>
      </c>
      <c r="I397">
        <v>629</v>
      </c>
      <c r="J397">
        <v>4885</v>
      </c>
      <c r="K397">
        <v>2636</v>
      </c>
      <c r="L397">
        <v>3986</v>
      </c>
      <c r="M397">
        <v>12136</v>
      </c>
      <c r="N397" s="2">
        <v>45747</v>
      </c>
      <c r="O397" s="2">
        <v>46020</v>
      </c>
      <c r="P397" s="1" t="s">
        <v>25</v>
      </c>
      <c r="Q397" s="1" t="s">
        <v>16</v>
      </c>
      <c r="R397" s="1" t="s">
        <v>22</v>
      </c>
      <c r="S397">
        <v>424</v>
      </c>
      <c r="T397" s="1" t="s">
        <v>1139</v>
      </c>
    </row>
    <row r="398" spans="1:20" x14ac:dyDescent="0.3">
      <c r="A398" s="1" t="s">
        <v>1140</v>
      </c>
      <c r="B398" s="1" t="s">
        <v>488</v>
      </c>
      <c r="C398">
        <v>34</v>
      </c>
      <c r="D398" s="1" t="s">
        <v>12</v>
      </c>
      <c r="E398" s="1" t="s">
        <v>27</v>
      </c>
      <c r="F398" s="1" t="s">
        <v>109</v>
      </c>
      <c r="G398" s="1" t="s">
        <v>98</v>
      </c>
      <c r="H398" s="1" t="s">
        <v>115</v>
      </c>
      <c r="I398">
        <v>1451</v>
      </c>
      <c r="J398">
        <v>784</v>
      </c>
      <c r="K398">
        <v>5752</v>
      </c>
      <c r="L398">
        <v>6192</v>
      </c>
      <c r="M398">
        <v>14179</v>
      </c>
      <c r="N398" s="2">
        <v>45834</v>
      </c>
      <c r="O398" s="2">
        <v>45733</v>
      </c>
      <c r="P398" s="1" t="s">
        <v>177</v>
      </c>
      <c r="Q398" s="1" t="s">
        <v>31</v>
      </c>
      <c r="R398" s="1" t="s">
        <v>87</v>
      </c>
      <c r="S398">
        <v>408</v>
      </c>
      <c r="T398" s="1" t="s">
        <v>1141</v>
      </c>
    </row>
    <row r="399" spans="1:20" x14ac:dyDescent="0.3">
      <c r="A399" s="1" t="s">
        <v>1142</v>
      </c>
      <c r="B399" s="1" t="s">
        <v>211</v>
      </c>
      <c r="C399">
        <v>64</v>
      </c>
      <c r="D399" s="1" t="s">
        <v>23</v>
      </c>
      <c r="E399" s="1" t="s">
        <v>27</v>
      </c>
      <c r="F399" s="1" t="s">
        <v>135</v>
      </c>
      <c r="G399" s="1" t="s">
        <v>91</v>
      </c>
      <c r="H399" s="1" t="s">
        <v>186</v>
      </c>
      <c r="I399">
        <v>619</v>
      </c>
      <c r="J399">
        <v>535</v>
      </c>
      <c r="K399">
        <v>6349</v>
      </c>
      <c r="L399">
        <v>9948</v>
      </c>
      <c r="M399">
        <v>17451</v>
      </c>
      <c r="N399" s="2">
        <v>45917</v>
      </c>
      <c r="O399" s="2">
        <v>45827</v>
      </c>
      <c r="P399" s="1" t="s">
        <v>14</v>
      </c>
      <c r="Q399" s="1" t="s">
        <v>31</v>
      </c>
      <c r="R399" s="1" t="s">
        <v>87</v>
      </c>
      <c r="S399">
        <v>846</v>
      </c>
      <c r="T399" s="1" t="s">
        <v>1143</v>
      </c>
    </row>
    <row r="400" spans="1:20" x14ac:dyDescent="0.3">
      <c r="A400" s="1" t="s">
        <v>1144</v>
      </c>
      <c r="B400" s="1" t="s">
        <v>1145</v>
      </c>
      <c r="C400">
        <v>15</v>
      </c>
      <c r="D400" s="1" t="s">
        <v>12</v>
      </c>
      <c r="E400" s="1" t="s">
        <v>27</v>
      </c>
      <c r="F400" s="1" t="s">
        <v>103</v>
      </c>
      <c r="G400" s="1" t="s">
        <v>91</v>
      </c>
      <c r="H400" s="1" t="s">
        <v>86</v>
      </c>
      <c r="I400">
        <v>1428</v>
      </c>
      <c r="J400">
        <v>1457</v>
      </c>
      <c r="K400">
        <v>2823</v>
      </c>
      <c r="L400">
        <v>1406</v>
      </c>
      <c r="M400">
        <v>7114</v>
      </c>
      <c r="N400" s="2">
        <v>45863</v>
      </c>
      <c r="O400" s="2">
        <v>45974</v>
      </c>
      <c r="P400" s="1" t="s">
        <v>19</v>
      </c>
      <c r="Q400" s="1" t="s">
        <v>16</v>
      </c>
      <c r="R400" s="1" t="s">
        <v>17</v>
      </c>
      <c r="S400">
        <v>156</v>
      </c>
      <c r="T400" s="1" t="s">
        <v>1146</v>
      </c>
    </row>
    <row r="401" spans="1:20" x14ac:dyDescent="0.3">
      <c r="A401" s="1" t="s">
        <v>1147</v>
      </c>
      <c r="B401" s="1" t="s">
        <v>469</v>
      </c>
      <c r="C401">
        <v>68</v>
      </c>
      <c r="D401" s="1" t="s">
        <v>23</v>
      </c>
      <c r="E401" s="1" t="s">
        <v>38</v>
      </c>
      <c r="F401" s="1" t="s">
        <v>124</v>
      </c>
      <c r="G401" s="1" t="s">
        <v>85</v>
      </c>
      <c r="H401" s="1" t="s">
        <v>115</v>
      </c>
      <c r="I401">
        <v>346</v>
      </c>
      <c r="J401">
        <v>1184</v>
      </c>
      <c r="K401">
        <v>4710</v>
      </c>
      <c r="L401">
        <v>14917</v>
      </c>
      <c r="M401">
        <v>21157</v>
      </c>
      <c r="N401" s="2">
        <v>45886</v>
      </c>
      <c r="O401" s="2">
        <v>46004</v>
      </c>
      <c r="P401" s="1" t="s">
        <v>35</v>
      </c>
      <c r="Q401" s="1" t="s">
        <v>9</v>
      </c>
      <c r="R401" s="1" t="s">
        <v>17</v>
      </c>
      <c r="S401">
        <v>717</v>
      </c>
      <c r="T401" s="1" t="s">
        <v>1148</v>
      </c>
    </row>
    <row r="402" spans="1:20" x14ac:dyDescent="0.3">
      <c r="A402" s="1" t="s">
        <v>1149</v>
      </c>
      <c r="B402" s="1" t="s">
        <v>1150</v>
      </c>
      <c r="C402">
        <v>47</v>
      </c>
      <c r="D402" s="1" t="s">
        <v>12</v>
      </c>
      <c r="E402" s="1" t="s">
        <v>36</v>
      </c>
      <c r="F402" s="1" t="s">
        <v>109</v>
      </c>
      <c r="G402" s="1" t="s">
        <v>125</v>
      </c>
      <c r="H402" s="1" t="s">
        <v>199</v>
      </c>
      <c r="I402">
        <v>1057</v>
      </c>
      <c r="J402">
        <v>3663</v>
      </c>
      <c r="K402">
        <v>3354</v>
      </c>
      <c r="L402">
        <v>1199</v>
      </c>
      <c r="M402">
        <v>9273</v>
      </c>
      <c r="N402" s="2">
        <v>45803</v>
      </c>
      <c r="O402" s="2">
        <v>45834</v>
      </c>
      <c r="P402" s="1" t="s">
        <v>177</v>
      </c>
      <c r="Q402" s="1" t="s">
        <v>16</v>
      </c>
      <c r="R402" s="1" t="s">
        <v>22</v>
      </c>
      <c r="S402">
        <v>845</v>
      </c>
      <c r="T402" s="1" t="s">
        <v>1151</v>
      </c>
    </row>
    <row r="403" spans="1:20" x14ac:dyDescent="0.3">
      <c r="A403" s="1" t="s">
        <v>1152</v>
      </c>
      <c r="B403" s="1" t="s">
        <v>1153</v>
      </c>
      <c r="C403">
        <v>57</v>
      </c>
      <c r="D403" s="1" t="s">
        <v>12</v>
      </c>
      <c r="E403" s="1" t="s">
        <v>40</v>
      </c>
      <c r="F403" s="1" t="s">
        <v>109</v>
      </c>
      <c r="G403" s="1" t="s">
        <v>91</v>
      </c>
      <c r="H403" s="1" t="s">
        <v>199</v>
      </c>
      <c r="I403">
        <v>1148</v>
      </c>
      <c r="J403">
        <v>1643</v>
      </c>
      <c r="K403">
        <v>7144</v>
      </c>
      <c r="L403">
        <v>10620</v>
      </c>
      <c r="M403">
        <v>20555</v>
      </c>
      <c r="N403" s="2">
        <v>45964</v>
      </c>
      <c r="O403" s="2">
        <v>45702</v>
      </c>
      <c r="P403" s="1" t="s">
        <v>25</v>
      </c>
      <c r="Q403" s="1" t="s">
        <v>9</v>
      </c>
      <c r="R403" s="1" t="s">
        <v>87</v>
      </c>
      <c r="S403">
        <v>443</v>
      </c>
      <c r="T403" s="1" t="s">
        <v>1154</v>
      </c>
    </row>
    <row r="404" spans="1:20" x14ac:dyDescent="0.3">
      <c r="A404" s="1" t="s">
        <v>1155</v>
      </c>
      <c r="B404" s="1" t="s">
        <v>1040</v>
      </c>
      <c r="C404">
        <v>12</v>
      </c>
      <c r="D404" s="1" t="s">
        <v>23</v>
      </c>
      <c r="E404" s="1" t="s">
        <v>40</v>
      </c>
      <c r="F404" s="1" t="s">
        <v>120</v>
      </c>
      <c r="G404" s="1" t="s">
        <v>85</v>
      </c>
      <c r="H404" s="1" t="s">
        <v>165</v>
      </c>
      <c r="I404">
        <v>1148</v>
      </c>
      <c r="J404">
        <v>1932</v>
      </c>
      <c r="K404">
        <v>4853</v>
      </c>
      <c r="L404">
        <v>8571</v>
      </c>
      <c r="M404">
        <v>16504</v>
      </c>
      <c r="N404" s="2">
        <v>46021</v>
      </c>
      <c r="O404" s="2">
        <v>45948</v>
      </c>
      <c r="P404" s="1" t="s">
        <v>25</v>
      </c>
      <c r="Q404" s="1" t="s">
        <v>9</v>
      </c>
      <c r="R404" s="1" t="s">
        <v>17</v>
      </c>
      <c r="S404">
        <v>667</v>
      </c>
      <c r="T404" s="1" t="s">
        <v>1156</v>
      </c>
    </row>
    <row r="405" spans="1:20" x14ac:dyDescent="0.3">
      <c r="A405" s="1" t="s">
        <v>1157</v>
      </c>
      <c r="B405" s="1" t="s">
        <v>661</v>
      </c>
      <c r="C405">
        <v>75</v>
      </c>
      <c r="D405" s="1" t="s">
        <v>12</v>
      </c>
      <c r="E405" s="1" t="s">
        <v>27</v>
      </c>
      <c r="F405" s="1" t="s">
        <v>135</v>
      </c>
      <c r="G405" s="1" t="s">
        <v>158</v>
      </c>
      <c r="H405" s="1" t="s">
        <v>92</v>
      </c>
      <c r="I405">
        <v>759</v>
      </c>
      <c r="J405">
        <v>719</v>
      </c>
      <c r="K405">
        <v>6781</v>
      </c>
      <c r="L405">
        <v>1040</v>
      </c>
      <c r="M405">
        <v>9299</v>
      </c>
      <c r="N405" s="2">
        <v>45736</v>
      </c>
      <c r="O405" s="2">
        <v>45792</v>
      </c>
      <c r="P405" s="1" t="s">
        <v>14</v>
      </c>
      <c r="Q405" s="1" t="s">
        <v>21</v>
      </c>
      <c r="R405" s="1" t="s">
        <v>17</v>
      </c>
      <c r="S405">
        <v>283</v>
      </c>
      <c r="T405" s="1" t="s">
        <v>1158</v>
      </c>
    </row>
    <row r="406" spans="1:20" x14ac:dyDescent="0.3">
      <c r="A406" s="1" t="s">
        <v>1159</v>
      </c>
      <c r="B406" s="1" t="s">
        <v>1160</v>
      </c>
      <c r="C406">
        <v>16</v>
      </c>
      <c r="D406" s="1" t="s">
        <v>12</v>
      </c>
      <c r="E406" s="1" t="s">
        <v>24</v>
      </c>
      <c r="F406" s="1" t="s">
        <v>135</v>
      </c>
      <c r="G406" s="1" t="s">
        <v>91</v>
      </c>
      <c r="H406" s="1" t="s">
        <v>37</v>
      </c>
      <c r="I406">
        <v>1040</v>
      </c>
      <c r="J406">
        <v>4436</v>
      </c>
      <c r="K406">
        <v>4933</v>
      </c>
      <c r="L406">
        <v>8144</v>
      </c>
      <c r="M406">
        <v>18553</v>
      </c>
      <c r="N406" s="2">
        <v>45790</v>
      </c>
      <c r="O406" s="2">
        <v>45979</v>
      </c>
      <c r="P406" s="1" t="s">
        <v>116</v>
      </c>
      <c r="Q406" s="1" t="s">
        <v>16</v>
      </c>
      <c r="R406" s="1" t="s">
        <v>17</v>
      </c>
      <c r="S406">
        <v>266</v>
      </c>
      <c r="T406" s="1" t="s">
        <v>1161</v>
      </c>
    </row>
    <row r="407" spans="1:20" x14ac:dyDescent="0.3">
      <c r="A407" s="1" t="s">
        <v>1162</v>
      </c>
      <c r="B407" s="1" t="s">
        <v>1138</v>
      </c>
      <c r="C407">
        <v>41</v>
      </c>
      <c r="D407" s="1" t="s">
        <v>12</v>
      </c>
      <c r="E407" s="1" t="s">
        <v>33</v>
      </c>
      <c r="F407" s="1" t="s">
        <v>109</v>
      </c>
      <c r="G407" s="1" t="s">
        <v>91</v>
      </c>
      <c r="H407" s="1" t="s">
        <v>99</v>
      </c>
      <c r="I407">
        <v>634</v>
      </c>
      <c r="J407">
        <v>933</v>
      </c>
      <c r="K407">
        <v>2533</v>
      </c>
      <c r="L407">
        <v>6917</v>
      </c>
      <c r="M407">
        <v>11017</v>
      </c>
      <c r="N407" s="2">
        <v>45872</v>
      </c>
      <c r="O407" s="2">
        <v>45983</v>
      </c>
      <c r="P407" s="1" t="s">
        <v>177</v>
      </c>
      <c r="Q407" s="1" t="s">
        <v>21</v>
      </c>
      <c r="R407" s="1" t="s">
        <v>87</v>
      </c>
      <c r="S407">
        <v>754</v>
      </c>
      <c r="T407" s="1" t="s">
        <v>1163</v>
      </c>
    </row>
    <row r="408" spans="1:20" x14ac:dyDescent="0.3">
      <c r="A408" s="1" t="s">
        <v>1164</v>
      </c>
      <c r="B408" s="1" t="s">
        <v>1165</v>
      </c>
      <c r="C408">
        <v>81</v>
      </c>
      <c r="D408" s="1" t="s">
        <v>23</v>
      </c>
      <c r="E408" s="1" t="s">
        <v>20</v>
      </c>
      <c r="F408" s="1" t="s">
        <v>114</v>
      </c>
      <c r="G408" s="1" t="s">
        <v>158</v>
      </c>
      <c r="H408" s="1" t="s">
        <v>145</v>
      </c>
      <c r="I408">
        <v>1413</v>
      </c>
      <c r="J408">
        <v>3142</v>
      </c>
      <c r="K408">
        <v>7447</v>
      </c>
      <c r="L408">
        <v>6180</v>
      </c>
      <c r="M408">
        <v>18182</v>
      </c>
      <c r="N408" s="2">
        <v>46008</v>
      </c>
      <c r="O408" s="2">
        <v>45812</v>
      </c>
      <c r="P408" s="1" t="s">
        <v>14</v>
      </c>
      <c r="Q408" s="1" t="s">
        <v>21</v>
      </c>
      <c r="R408" s="1" t="s">
        <v>22</v>
      </c>
      <c r="S408">
        <v>113</v>
      </c>
      <c r="T408" s="1" t="s">
        <v>1166</v>
      </c>
    </row>
    <row r="409" spans="1:20" x14ac:dyDescent="0.3">
      <c r="A409" s="1" t="s">
        <v>1167</v>
      </c>
      <c r="B409" s="1" t="s">
        <v>1168</v>
      </c>
      <c r="C409">
        <v>48</v>
      </c>
      <c r="D409" s="1" t="s">
        <v>12</v>
      </c>
      <c r="E409" s="1" t="s">
        <v>24</v>
      </c>
      <c r="F409" s="1" t="s">
        <v>120</v>
      </c>
      <c r="G409" s="1" t="s">
        <v>125</v>
      </c>
      <c r="H409" s="1" t="s">
        <v>186</v>
      </c>
      <c r="I409">
        <v>633</v>
      </c>
      <c r="J409">
        <v>1339</v>
      </c>
      <c r="K409">
        <v>2084</v>
      </c>
      <c r="L409">
        <v>3532</v>
      </c>
      <c r="M409">
        <v>7588</v>
      </c>
      <c r="N409" s="2">
        <v>45915</v>
      </c>
      <c r="O409" s="2">
        <v>45771</v>
      </c>
      <c r="P409" s="1" t="s">
        <v>19</v>
      </c>
      <c r="Q409" s="1" t="s">
        <v>9</v>
      </c>
      <c r="R409" s="1" t="s">
        <v>22</v>
      </c>
      <c r="S409">
        <v>219</v>
      </c>
      <c r="T409" s="1" t="s">
        <v>1169</v>
      </c>
    </row>
    <row r="410" spans="1:20" x14ac:dyDescent="0.3">
      <c r="A410" s="1" t="s">
        <v>1170</v>
      </c>
      <c r="B410" s="1" t="s">
        <v>1171</v>
      </c>
      <c r="C410">
        <v>62</v>
      </c>
      <c r="D410" s="1" t="s">
        <v>12</v>
      </c>
      <c r="E410" s="1" t="s">
        <v>36</v>
      </c>
      <c r="F410" s="1" t="s">
        <v>124</v>
      </c>
      <c r="G410" s="1" t="s">
        <v>158</v>
      </c>
      <c r="H410" s="1" t="s">
        <v>99</v>
      </c>
      <c r="I410">
        <v>584</v>
      </c>
      <c r="J410">
        <v>4120</v>
      </c>
      <c r="K410">
        <v>7588</v>
      </c>
      <c r="L410">
        <v>10791</v>
      </c>
      <c r="M410">
        <v>23083</v>
      </c>
      <c r="N410" s="2">
        <v>45925</v>
      </c>
      <c r="O410" s="2">
        <v>45833</v>
      </c>
      <c r="P410" s="1" t="s">
        <v>25</v>
      </c>
      <c r="Q410" s="1" t="s">
        <v>16</v>
      </c>
      <c r="R410" s="1" t="s">
        <v>22</v>
      </c>
      <c r="S410">
        <v>231</v>
      </c>
      <c r="T410" s="1" t="s">
        <v>1172</v>
      </c>
    </row>
    <row r="411" spans="1:20" x14ac:dyDescent="0.3">
      <c r="A411" s="1" t="s">
        <v>1173</v>
      </c>
      <c r="B411" s="1" t="s">
        <v>344</v>
      </c>
      <c r="C411">
        <v>40</v>
      </c>
      <c r="D411" s="1" t="s">
        <v>23</v>
      </c>
      <c r="E411" s="1" t="s">
        <v>27</v>
      </c>
      <c r="F411" s="1" t="s">
        <v>84</v>
      </c>
      <c r="G411" s="1" t="s">
        <v>176</v>
      </c>
      <c r="H411" s="1" t="s">
        <v>86</v>
      </c>
      <c r="I411">
        <v>460</v>
      </c>
      <c r="J411">
        <v>3980</v>
      </c>
      <c r="K411">
        <v>5959</v>
      </c>
      <c r="L411">
        <v>13501</v>
      </c>
      <c r="M411">
        <v>23900</v>
      </c>
      <c r="N411" s="2">
        <v>45715</v>
      </c>
      <c r="O411" s="2">
        <v>45697</v>
      </c>
      <c r="P411" s="1" t="s">
        <v>34</v>
      </c>
      <c r="Q411" s="1" t="s">
        <v>9</v>
      </c>
      <c r="R411" s="1" t="s">
        <v>22</v>
      </c>
      <c r="S411">
        <v>301</v>
      </c>
      <c r="T411" s="1" t="s">
        <v>1174</v>
      </c>
    </row>
    <row r="412" spans="1:20" x14ac:dyDescent="0.3">
      <c r="A412" s="1" t="s">
        <v>1175</v>
      </c>
      <c r="B412" s="1" t="s">
        <v>978</v>
      </c>
      <c r="C412">
        <v>76</v>
      </c>
      <c r="D412" s="1" t="s">
        <v>23</v>
      </c>
      <c r="E412" s="1" t="s">
        <v>24</v>
      </c>
      <c r="F412" s="1" t="s">
        <v>135</v>
      </c>
      <c r="G412" s="1" t="s">
        <v>98</v>
      </c>
      <c r="H412" s="1" t="s">
        <v>13</v>
      </c>
      <c r="I412">
        <v>818</v>
      </c>
      <c r="J412">
        <v>854</v>
      </c>
      <c r="K412">
        <v>842</v>
      </c>
      <c r="L412">
        <v>5942</v>
      </c>
      <c r="M412">
        <v>8456</v>
      </c>
      <c r="N412" s="2">
        <v>45999</v>
      </c>
      <c r="O412" s="2">
        <v>45663</v>
      </c>
      <c r="P412" s="1" t="s">
        <v>35</v>
      </c>
      <c r="Q412" s="1" t="s">
        <v>31</v>
      </c>
      <c r="R412" s="1" t="s">
        <v>87</v>
      </c>
      <c r="S412">
        <v>304</v>
      </c>
      <c r="T412" s="1" t="s">
        <v>1176</v>
      </c>
    </row>
    <row r="413" spans="1:20" x14ac:dyDescent="0.3">
      <c r="A413" s="1" t="s">
        <v>1177</v>
      </c>
      <c r="B413" s="1" t="s">
        <v>1178</v>
      </c>
      <c r="C413">
        <v>12</v>
      </c>
      <c r="D413" s="1" t="s">
        <v>23</v>
      </c>
      <c r="E413" s="1" t="s">
        <v>24</v>
      </c>
      <c r="F413" s="1" t="s">
        <v>124</v>
      </c>
      <c r="G413" s="1" t="s">
        <v>158</v>
      </c>
      <c r="H413" s="1" t="s">
        <v>99</v>
      </c>
      <c r="I413">
        <v>1021</v>
      </c>
      <c r="J413">
        <v>1815</v>
      </c>
      <c r="K413">
        <v>7305</v>
      </c>
      <c r="L413">
        <v>9202</v>
      </c>
      <c r="M413">
        <v>19343</v>
      </c>
      <c r="N413" s="2">
        <v>45971</v>
      </c>
      <c r="O413" s="2">
        <v>45781</v>
      </c>
      <c r="P413" s="1" t="s">
        <v>110</v>
      </c>
      <c r="Q413" s="1" t="s">
        <v>16</v>
      </c>
      <c r="R413" s="1" t="s">
        <v>87</v>
      </c>
      <c r="S413">
        <v>322</v>
      </c>
      <c r="T413" s="1" t="s">
        <v>1179</v>
      </c>
    </row>
    <row r="414" spans="1:20" x14ac:dyDescent="0.3">
      <c r="A414" s="1" t="s">
        <v>1180</v>
      </c>
      <c r="B414" s="1" t="s">
        <v>134</v>
      </c>
      <c r="C414">
        <v>22</v>
      </c>
      <c r="D414" s="1" t="s">
        <v>23</v>
      </c>
      <c r="E414" s="1" t="s">
        <v>24</v>
      </c>
      <c r="F414" s="1" t="s">
        <v>114</v>
      </c>
      <c r="G414" s="1" t="s">
        <v>85</v>
      </c>
      <c r="H414" s="1" t="s">
        <v>115</v>
      </c>
      <c r="I414">
        <v>1332</v>
      </c>
      <c r="J414">
        <v>4388</v>
      </c>
      <c r="K414">
        <v>3302</v>
      </c>
      <c r="L414">
        <v>12438</v>
      </c>
      <c r="M414">
        <v>21460</v>
      </c>
      <c r="N414" s="2">
        <v>45959</v>
      </c>
      <c r="O414" s="2">
        <v>45752</v>
      </c>
      <c r="P414" s="1" t="s">
        <v>116</v>
      </c>
      <c r="Q414" s="1" t="s">
        <v>21</v>
      </c>
      <c r="R414" s="1" t="s">
        <v>17</v>
      </c>
      <c r="S414">
        <v>534</v>
      </c>
      <c r="T414" s="1" t="s">
        <v>1181</v>
      </c>
    </row>
    <row r="415" spans="1:20" x14ac:dyDescent="0.3">
      <c r="A415" s="1" t="s">
        <v>1182</v>
      </c>
      <c r="B415" s="1" t="s">
        <v>637</v>
      </c>
      <c r="C415">
        <v>53</v>
      </c>
      <c r="D415" s="1" t="s">
        <v>23</v>
      </c>
      <c r="E415" s="1" t="s">
        <v>33</v>
      </c>
      <c r="F415" s="1" t="s">
        <v>97</v>
      </c>
      <c r="G415" s="1" t="s">
        <v>158</v>
      </c>
      <c r="H415" s="1" t="s">
        <v>13</v>
      </c>
      <c r="I415">
        <v>1254</v>
      </c>
      <c r="J415">
        <v>1403</v>
      </c>
      <c r="K415">
        <v>4557</v>
      </c>
      <c r="L415">
        <v>3226</v>
      </c>
      <c r="M415">
        <v>10440</v>
      </c>
      <c r="N415" s="2">
        <v>45911</v>
      </c>
      <c r="O415" s="2">
        <v>45842</v>
      </c>
      <c r="P415" s="1" t="s">
        <v>14</v>
      </c>
      <c r="Q415" s="1" t="s">
        <v>21</v>
      </c>
      <c r="R415" s="1" t="s">
        <v>17</v>
      </c>
      <c r="S415">
        <v>218</v>
      </c>
      <c r="T415" s="1" t="s">
        <v>1183</v>
      </c>
    </row>
    <row r="416" spans="1:20" x14ac:dyDescent="0.3">
      <c r="A416" s="1" t="s">
        <v>1184</v>
      </c>
      <c r="B416" s="1" t="s">
        <v>1185</v>
      </c>
      <c r="C416">
        <v>77</v>
      </c>
      <c r="D416" s="1" t="s">
        <v>12</v>
      </c>
      <c r="E416" s="1" t="s">
        <v>20</v>
      </c>
      <c r="F416" s="1" t="s">
        <v>135</v>
      </c>
      <c r="G416" s="1" t="s">
        <v>85</v>
      </c>
      <c r="H416" s="1" t="s">
        <v>105</v>
      </c>
      <c r="I416">
        <v>1434</v>
      </c>
      <c r="J416">
        <v>3836</v>
      </c>
      <c r="K416">
        <v>2680</v>
      </c>
      <c r="L416">
        <v>8011</v>
      </c>
      <c r="M416">
        <v>15961</v>
      </c>
      <c r="N416" s="2">
        <v>45754</v>
      </c>
      <c r="O416" s="2">
        <v>45693</v>
      </c>
      <c r="P416" s="1" t="s">
        <v>116</v>
      </c>
      <c r="Q416" s="1" t="s">
        <v>16</v>
      </c>
      <c r="R416" s="1" t="s">
        <v>87</v>
      </c>
      <c r="S416">
        <v>603</v>
      </c>
      <c r="T416" s="1" t="s">
        <v>1186</v>
      </c>
    </row>
    <row r="417" spans="1:20" x14ac:dyDescent="0.3">
      <c r="A417" s="1" t="s">
        <v>1187</v>
      </c>
      <c r="B417" s="1" t="s">
        <v>183</v>
      </c>
      <c r="C417">
        <v>57</v>
      </c>
      <c r="D417" s="1" t="s">
        <v>23</v>
      </c>
      <c r="E417" s="1" t="s">
        <v>20</v>
      </c>
      <c r="F417" s="1" t="s">
        <v>114</v>
      </c>
      <c r="G417" s="1" t="s">
        <v>85</v>
      </c>
      <c r="H417" s="1" t="s">
        <v>86</v>
      </c>
      <c r="I417">
        <v>1108</v>
      </c>
      <c r="J417">
        <v>3781</v>
      </c>
      <c r="K417">
        <v>5993</v>
      </c>
      <c r="L417">
        <v>10675</v>
      </c>
      <c r="M417">
        <v>21557</v>
      </c>
      <c r="N417" s="2">
        <v>45710</v>
      </c>
      <c r="O417" s="2">
        <v>45744</v>
      </c>
      <c r="P417" s="1" t="s">
        <v>35</v>
      </c>
      <c r="Q417" s="1" t="s">
        <v>21</v>
      </c>
      <c r="R417" s="1" t="s">
        <v>22</v>
      </c>
      <c r="S417">
        <v>709</v>
      </c>
      <c r="T417" s="1" t="s">
        <v>1188</v>
      </c>
    </row>
    <row r="418" spans="1:20" x14ac:dyDescent="0.3">
      <c r="A418" s="1" t="s">
        <v>1189</v>
      </c>
      <c r="B418" s="1" t="s">
        <v>1190</v>
      </c>
      <c r="C418">
        <v>30</v>
      </c>
      <c r="D418" s="1" t="s">
        <v>12</v>
      </c>
      <c r="E418" s="1" t="s">
        <v>27</v>
      </c>
      <c r="F418" s="1" t="s">
        <v>135</v>
      </c>
      <c r="G418" s="1" t="s">
        <v>104</v>
      </c>
      <c r="H418" s="1" t="s">
        <v>165</v>
      </c>
      <c r="I418">
        <v>1491</v>
      </c>
      <c r="J418">
        <v>2736</v>
      </c>
      <c r="K418">
        <v>6495</v>
      </c>
      <c r="L418">
        <v>13935</v>
      </c>
      <c r="M418">
        <v>24657</v>
      </c>
      <c r="N418" s="2">
        <v>45987</v>
      </c>
      <c r="O418" s="2">
        <v>45862</v>
      </c>
      <c r="P418" s="1" t="s">
        <v>177</v>
      </c>
      <c r="Q418" s="1" t="s">
        <v>9</v>
      </c>
      <c r="R418" s="1" t="s">
        <v>17</v>
      </c>
      <c r="S418">
        <v>623</v>
      </c>
      <c r="T418" s="1" t="s">
        <v>1191</v>
      </c>
    </row>
    <row r="419" spans="1:20" x14ac:dyDescent="0.3">
      <c r="A419" s="1" t="s">
        <v>1192</v>
      </c>
      <c r="B419" s="1" t="s">
        <v>488</v>
      </c>
      <c r="C419">
        <v>14</v>
      </c>
      <c r="D419" s="1" t="s">
        <v>23</v>
      </c>
      <c r="E419" s="1" t="s">
        <v>24</v>
      </c>
      <c r="F419" s="1" t="s">
        <v>124</v>
      </c>
      <c r="G419" s="1" t="s">
        <v>125</v>
      </c>
      <c r="H419" s="1" t="s">
        <v>215</v>
      </c>
      <c r="I419">
        <v>1318</v>
      </c>
      <c r="J419">
        <v>2390</v>
      </c>
      <c r="K419">
        <v>5447</v>
      </c>
      <c r="L419">
        <v>3205</v>
      </c>
      <c r="M419">
        <v>12360</v>
      </c>
      <c r="N419" s="2">
        <v>45673</v>
      </c>
      <c r="O419" s="2">
        <v>45708</v>
      </c>
      <c r="P419" s="1" t="s">
        <v>34</v>
      </c>
      <c r="Q419" s="1" t="s">
        <v>16</v>
      </c>
      <c r="R419" s="1" t="s">
        <v>22</v>
      </c>
      <c r="S419">
        <v>491</v>
      </c>
      <c r="T419" s="1" t="s">
        <v>1193</v>
      </c>
    </row>
    <row r="420" spans="1:20" x14ac:dyDescent="0.3">
      <c r="A420" s="1" t="s">
        <v>1194</v>
      </c>
      <c r="B420" s="1" t="s">
        <v>28</v>
      </c>
      <c r="C420">
        <v>39</v>
      </c>
      <c r="D420" s="1" t="s">
        <v>23</v>
      </c>
      <c r="E420" s="1" t="s">
        <v>36</v>
      </c>
      <c r="F420" s="1" t="s">
        <v>114</v>
      </c>
      <c r="G420" s="1" t="s">
        <v>98</v>
      </c>
      <c r="H420" s="1" t="s">
        <v>215</v>
      </c>
      <c r="I420">
        <v>1254</v>
      </c>
      <c r="J420">
        <v>2154</v>
      </c>
      <c r="K420">
        <v>2704</v>
      </c>
      <c r="L420">
        <v>11847</v>
      </c>
      <c r="M420">
        <v>17959</v>
      </c>
      <c r="N420" s="2">
        <v>45912</v>
      </c>
      <c r="O420" s="2">
        <v>45909</v>
      </c>
      <c r="P420" s="1" t="s">
        <v>110</v>
      </c>
      <c r="Q420" s="1" t="s">
        <v>21</v>
      </c>
      <c r="R420" s="1" t="s">
        <v>87</v>
      </c>
      <c r="S420">
        <v>659</v>
      </c>
      <c r="T420" s="1" t="s">
        <v>1195</v>
      </c>
    </row>
    <row r="421" spans="1:20" x14ac:dyDescent="0.3">
      <c r="A421" s="1" t="s">
        <v>1196</v>
      </c>
      <c r="B421" s="1" t="s">
        <v>253</v>
      </c>
      <c r="C421">
        <v>16</v>
      </c>
      <c r="D421" s="1" t="s">
        <v>12</v>
      </c>
      <c r="E421" s="1" t="s">
        <v>36</v>
      </c>
      <c r="F421" s="1" t="s">
        <v>135</v>
      </c>
      <c r="G421" s="1" t="s">
        <v>104</v>
      </c>
      <c r="H421" s="1" t="s">
        <v>186</v>
      </c>
      <c r="I421">
        <v>1070</v>
      </c>
      <c r="J421">
        <v>4125</v>
      </c>
      <c r="K421">
        <v>4065</v>
      </c>
      <c r="L421">
        <v>1589</v>
      </c>
      <c r="M421">
        <v>10849</v>
      </c>
      <c r="N421" s="2">
        <v>45674</v>
      </c>
      <c r="O421" s="2">
        <v>45748</v>
      </c>
      <c r="P421" s="1" t="s">
        <v>110</v>
      </c>
      <c r="Q421" s="1" t="s">
        <v>31</v>
      </c>
      <c r="R421" s="1" t="s">
        <v>17</v>
      </c>
      <c r="S421">
        <v>541</v>
      </c>
      <c r="T421" s="1" t="s">
        <v>1197</v>
      </c>
    </row>
    <row r="422" spans="1:20" x14ac:dyDescent="0.3">
      <c r="A422" s="1" t="s">
        <v>1198</v>
      </c>
      <c r="B422" s="1" t="s">
        <v>1199</v>
      </c>
      <c r="C422">
        <v>63</v>
      </c>
      <c r="D422" s="1" t="s">
        <v>23</v>
      </c>
      <c r="E422" s="1" t="s">
        <v>38</v>
      </c>
      <c r="F422" s="1" t="s">
        <v>135</v>
      </c>
      <c r="G422" s="1" t="s">
        <v>98</v>
      </c>
      <c r="H422" s="1" t="s">
        <v>215</v>
      </c>
      <c r="I422">
        <v>1274</v>
      </c>
      <c r="J422">
        <v>1780</v>
      </c>
      <c r="K422">
        <v>4450</v>
      </c>
      <c r="L422">
        <v>1913</v>
      </c>
      <c r="M422">
        <v>9417</v>
      </c>
      <c r="N422" s="2">
        <v>45858</v>
      </c>
      <c r="O422" s="2">
        <v>45792</v>
      </c>
      <c r="P422" s="1" t="s">
        <v>116</v>
      </c>
      <c r="Q422" s="1" t="s">
        <v>21</v>
      </c>
      <c r="R422" s="1" t="s">
        <v>17</v>
      </c>
      <c r="S422">
        <v>428</v>
      </c>
      <c r="T422" s="1" t="s">
        <v>1200</v>
      </c>
    </row>
    <row r="423" spans="1:20" x14ac:dyDescent="0.3">
      <c r="A423" s="1" t="s">
        <v>1201</v>
      </c>
      <c r="B423" s="1" t="s">
        <v>834</v>
      </c>
      <c r="C423">
        <v>6</v>
      </c>
      <c r="D423" s="1" t="s">
        <v>23</v>
      </c>
      <c r="E423" s="1" t="s">
        <v>38</v>
      </c>
      <c r="F423" s="1" t="s">
        <v>97</v>
      </c>
      <c r="G423" s="1" t="s">
        <v>91</v>
      </c>
      <c r="H423" s="1" t="s">
        <v>99</v>
      </c>
      <c r="I423">
        <v>1495</v>
      </c>
      <c r="J423">
        <v>720</v>
      </c>
      <c r="K423">
        <v>6568</v>
      </c>
      <c r="L423">
        <v>11242</v>
      </c>
      <c r="M423">
        <v>20025</v>
      </c>
      <c r="N423" s="2">
        <v>45832</v>
      </c>
      <c r="O423" s="2">
        <v>45852</v>
      </c>
      <c r="P423" s="1" t="s">
        <v>35</v>
      </c>
      <c r="Q423" s="1" t="s">
        <v>21</v>
      </c>
      <c r="R423" s="1" t="s">
        <v>17</v>
      </c>
      <c r="S423">
        <v>459</v>
      </c>
      <c r="T423" s="1" t="s">
        <v>1202</v>
      </c>
    </row>
    <row r="424" spans="1:20" x14ac:dyDescent="0.3">
      <c r="A424" s="1" t="s">
        <v>1203</v>
      </c>
      <c r="B424" s="1" t="s">
        <v>858</v>
      </c>
      <c r="C424">
        <v>31</v>
      </c>
      <c r="D424" s="1" t="s">
        <v>12</v>
      </c>
      <c r="E424" s="1" t="s">
        <v>33</v>
      </c>
      <c r="F424" s="1" t="s">
        <v>114</v>
      </c>
      <c r="G424" s="1" t="s">
        <v>125</v>
      </c>
      <c r="H424" s="1" t="s">
        <v>37</v>
      </c>
      <c r="I424">
        <v>924</v>
      </c>
      <c r="J424">
        <v>1437</v>
      </c>
      <c r="K424">
        <v>3065</v>
      </c>
      <c r="L424">
        <v>3781</v>
      </c>
      <c r="M424">
        <v>9207</v>
      </c>
      <c r="N424" s="2">
        <v>45668</v>
      </c>
      <c r="O424" s="2">
        <v>45933</v>
      </c>
      <c r="P424" s="1" t="s">
        <v>177</v>
      </c>
      <c r="Q424" s="1" t="s">
        <v>9</v>
      </c>
      <c r="R424" s="1" t="s">
        <v>87</v>
      </c>
      <c r="S424">
        <v>627</v>
      </c>
      <c r="T424" s="1" t="s">
        <v>1204</v>
      </c>
    </row>
    <row r="425" spans="1:20" x14ac:dyDescent="0.3">
      <c r="A425" s="1" t="s">
        <v>1205</v>
      </c>
      <c r="B425" s="1" t="s">
        <v>803</v>
      </c>
      <c r="C425">
        <v>3</v>
      </c>
      <c r="D425" s="1" t="s">
        <v>12</v>
      </c>
      <c r="E425" s="1" t="s">
        <v>40</v>
      </c>
      <c r="F425" s="1" t="s">
        <v>103</v>
      </c>
      <c r="G425" s="1" t="s">
        <v>91</v>
      </c>
      <c r="H425" s="1" t="s">
        <v>186</v>
      </c>
      <c r="I425">
        <v>1073</v>
      </c>
      <c r="J425">
        <v>3697</v>
      </c>
      <c r="K425">
        <v>2941</v>
      </c>
      <c r="L425">
        <v>10380</v>
      </c>
      <c r="M425">
        <v>18091</v>
      </c>
      <c r="N425" s="2">
        <v>45708</v>
      </c>
      <c r="O425" s="2">
        <v>45908</v>
      </c>
      <c r="P425" s="1" t="s">
        <v>35</v>
      </c>
      <c r="Q425" s="1" t="s">
        <v>9</v>
      </c>
      <c r="R425" s="1" t="s">
        <v>87</v>
      </c>
      <c r="S425">
        <v>930</v>
      </c>
      <c r="T425" s="1" t="s">
        <v>1206</v>
      </c>
    </row>
    <row r="426" spans="1:20" x14ac:dyDescent="0.3">
      <c r="A426" s="1" t="s">
        <v>1207</v>
      </c>
      <c r="B426" s="1" t="s">
        <v>50</v>
      </c>
      <c r="C426">
        <v>79</v>
      </c>
      <c r="D426" s="1" t="s">
        <v>12</v>
      </c>
      <c r="E426" s="1" t="s">
        <v>36</v>
      </c>
      <c r="F426" s="1" t="s">
        <v>97</v>
      </c>
      <c r="G426" s="1" t="s">
        <v>91</v>
      </c>
      <c r="H426" s="1" t="s">
        <v>199</v>
      </c>
      <c r="I426">
        <v>713</v>
      </c>
      <c r="J426">
        <v>4571</v>
      </c>
      <c r="K426">
        <v>5505</v>
      </c>
      <c r="L426">
        <v>14882</v>
      </c>
      <c r="M426">
        <v>25671</v>
      </c>
      <c r="N426" s="2">
        <v>45696</v>
      </c>
      <c r="O426" s="2">
        <v>45932</v>
      </c>
      <c r="P426" s="1" t="s">
        <v>19</v>
      </c>
      <c r="Q426" s="1" t="s">
        <v>16</v>
      </c>
      <c r="R426" s="1" t="s">
        <v>17</v>
      </c>
      <c r="S426">
        <v>687</v>
      </c>
      <c r="T426" s="1" t="s">
        <v>1208</v>
      </c>
    </row>
    <row r="427" spans="1:20" x14ac:dyDescent="0.3">
      <c r="A427" s="1" t="s">
        <v>1209</v>
      </c>
      <c r="B427" s="1" t="s">
        <v>494</v>
      </c>
      <c r="C427">
        <v>12</v>
      </c>
      <c r="D427" s="1" t="s">
        <v>23</v>
      </c>
      <c r="E427" s="1" t="s">
        <v>36</v>
      </c>
      <c r="F427" s="1" t="s">
        <v>97</v>
      </c>
      <c r="G427" s="1" t="s">
        <v>98</v>
      </c>
      <c r="H427" s="1" t="s">
        <v>165</v>
      </c>
      <c r="I427">
        <v>437</v>
      </c>
      <c r="J427">
        <v>4850</v>
      </c>
      <c r="K427">
        <v>4193</v>
      </c>
      <c r="L427">
        <v>7997</v>
      </c>
      <c r="M427">
        <v>17477</v>
      </c>
      <c r="N427" s="2">
        <v>45765</v>
      </c>
      <c r="O427" s="2">
        <v>45835</v>
      </c>
      <c r="P427" s="1" t="s">
        <v>35</v>
      </c>
      <c r="Q427" s="1" t="s">
        <v>21</v>
      </c>
      <c r="R427" s="1" t="s">
        <v>17</v>
      </c>
      <c r="S427">
        <v>779</v>
      </c>
      <c r="T427" s="1" t="s">
        <v>1210</v>
      </c>
    </row>
    <row r="428" spans="1:20" x14ac:dyDescent="0.3">
      <c r="A428" s="1" t="s">
        <v>1211</v>
      </c>
      <c r="B428" s="1" t="s">
        <v>39</v>
      </c>
      <c r="C428">
        <v>54</v>
      </c>
      <c r="D428" s="1" t="s">
        <v>12</v>
      </c>
      <c r="E428" s="1" t="s">
        <v>15</v>
      </c>
      <c r="F428" s="1" t="s">
        <v>124</v>
      </c>
      <c r="G428" s="1" t="s">
        <v>98</v>
      </c>
      <c r="H428" s="1" t="s">
        <v>92</v>
      </c>
      <c r="I428">
        <v>1421</v>
      </c>
      <c r="J428">
        <v>1979</v>
      </c>
      <c r="K428">
        <v>7516</v>
      </c>
      <c r="L428">
        <v>1304</v>
      </c>
      <c r="M428">
        <v>12220</v>
      </c>
      <c r="N428" s="2">
        <v>45979</v>
      </c>
      <c r="O428" s="2">
        <v>46018</v>
      </c>
      <c r="P428" s="1" t="s">
        <v>110</v>
      </c>
      <c r="Q428" s="1" t="s">
        <v>9</v>
      </c>
      <c r="R428" s="1" t="s">
        <v>22</v>
      </c>
      <c r="S428">
        <v>776</v>
      </c>
      <c r="T428" s="1" t="s">
        <v>1212</v>
      </c>
    </row>
    <row r="429" spans="1:20" x14ac:dyDescent="0.3">
      <c r="A429" s="1" t="s">
        <v>1213</v>
      </c>
      <c r="B429" s="1" t="s">
        <v>460</v>
      </c>
      <c r="C429">
        <v>82</v>
      </c>
      <c r="D429" s="1" t="s">
        <v>12</v>
      </c>
      <c r="E429" s="1" t="s">
        <v>38</v>
      </c>
      <c r="F429" s="1" t="s">
        <v>103</v>
      </c>
      <c r="G429" s="1" t="s">
        <v>125</v>
      </c>
      <c r="H429" s="1" t="s">
        <v>115</v>
      </c>
      <c r="I429">
        <v>1046</v>
      </c>
      <c r="J429">
        <v>4288</v>
      </c>
      <c r="K429">
        <v>1510</v>
      </c>
      <c r="L429">
        <v>4938</v>
      </c>
      <c r="M429">
        <v>11782</v>
      </c>
      <c r="N429" s="2">
        <v>45735</v>
      </c>
      <c r="O429" s="2">
        <v>46008</v>
      </c>
      <c r="P429" s="1" t="s">
        <v>14</v>
      </c>
      <c r="Q429" s="1" t="s">
        <v>21</v>
      </c>
      <c r="R429" s="1" t="s">
        <v>22</v>
      </c>
      <c r="S429">
        <v>749</v>
      </c>
      <c r="T429" s="1" t="s">
        <v>1214</v>
      </c>
    </row>
    <row r="430" spans="1:20" x14ac:dyDescent="0.3">
      <c r="A430" s="1" t="s">
        <v>1215</v>
      </c>
      <c r="B430" s="1" t="s">
        <v>803</v>
      </c>
      <c r="C430">
        <v>37</v>
      </c>
      <c r="D430" s="1" t="s">
        <v>23</v>
      </c>
      <c r="E430" s="1" t="s">
        <v>36</v>
      </c>
      <c r="F430" s="1" t="s">
        <v>124</v>
      </c>
      <c r="G430" s="1" t="s">
        <v>125</v>
      </c>
      <c r="H430" s="1" t="s">
        <v>105</v>
      </c>
      <c r="I430">
        <v>1131</v>
      </c>
      <c r="J430">
        <v>2453</v>
      </c>
      <c r="K430">
        <v>1230</v>
      </c>
      <c r="L430">
        <v>3456</v>
      </c>
      <c r="M430">
        <v>8270</v>
      </c>
      <c r="N430" s="2">
        <v>45756</v>
      </c>
      <c r="O430" s="2">
        <v>45672</v>
      </c>
      <c r="P430" s="1" t="s">
        <v>19</v>
      </c>
      <c r="Q430" s="1" t="s">
        <v>9</v>
      </c>
      <c r="R430" s="1" t="s">
        <v>87</v>
      </c>
      <c r="S430">
        <v>546</v>
      </c>
      <c r="T430" s="1" t="s">
        <v>1216</v>
      </c>
    </row>
    <row r="431" spans="1:20" x14ac:dyDescent="0.3">
      <c r="A431" s="1" t="s">
        <v>1217</v>
      </c>
      <c r="B431" s="1" t="s">
        <v>386</v>
      </c>
      <c r="C431">
        <v>21</v>
      </c>
      <c r="D431" s="1" t="s">
        <v>12</v>
      </c>
      <c r="E431" s="1" t="s">
        <v>27</v>
      </c>
      <c r="F431" s="1" t="s">
        <v>109</v>
      </c>
      <c r="G431" s="1" t="s">
        <v>176</v>
      </c>
      <c r="H431" s="1" t="s">
        <v>18</v>
      </c>
      <c r="I431">
        <v>829</v>
      </c>
      <c r="J431">
        <v>2775</v>
      </c>
      <c r="K431">
        <v>5695</v>
      </c>
      <c r="L431">
        <v>10022</v>
      </c>
      <c r="M431">
        <v>19321</v>
      </c>
      <c r="N431" s="2">
        <v>45748</v>
      </c>
      <c r="O431" s="2">
        <v>45987</v>
      </c>
      <c r="P431" s="1" t="s">
        <v>34</v>
      </c>
      <c r="Q431" s="1" t="s">
        <v>16</v>
      </c>
      <c r="R431" s="1" t="s">
        <v>22</v>
      </c>
      <c r="S431">
        <v>980</v>
      </c>
      <c r="T431" s="1" t="s">
        <v>1218</v>
      </c>
    </row>
    <row r="432" spans="1:20" x14ac:dyDescent="0.3">
      <c r="A432" s="1" t="s">
        <v>1219</v>
      </c>
      <c r="B432" s="1" t="s">
        <v>259</v>
      </c>
      <c r="C432">
        <v>78</v>
      </c>
      <c r="D432" s="1" t="s">
        <v>12</v>
      </c>
      <c r="E432" s="1" t="s">
        <v>24</v>
      </c>
      <c r="F432" s="1" t="s">
        <v>114</v>
      </c>
      <c r="G432" s="1" t="s">
        <v>98</v>
      </c>
      <c r="H432" s="1" t="s">
        <v>199</v>
      </c>
      <c r="I432">
        <v>1044</v>
      </c>
      <c r="J432">
        <v>1239</v>
      </c>
      <c r="K432">
        <v>3551</v>
      </c>
      <c r="L432">
        <v>14759</v>
      </c>
      <c r="M432">
        <v>20593</v>
      </c>
      <c r="N432" s="2">
        <v>45729</v>
      </c>
      <c r="O432" s="2">
        <v>45778</v>
      </c>
      <c r="P432" s="1" t="s">
        <v>35</v>
      </c>
      <c r="Q432" s="1" t="s">
        <v>21</v>
      </c>
      <c r="R432" s="1" t="s">
        <v>17</v>
      </c>
      <c r="S432">
        <v>192</v>
      </c>
      <c r="T432" s="1" t="s">
        <v>1220</v>
      </c>
    </row>
    <row r="433" spans="1:20" x14ac:dyDescent="0.3">
      <c r="A433" s="1" t="s">
        <v>1221</v>
      </c>
      <c r="B433" s="1" t="s">
        <v>1222</v>
      </c>
      <c r="C433">
        <v>41</v>
      </c>
      <c r="D433" s="1" t="s">
        <v>12</v>
      </c>
      <c r="E433" s="1" t="s">
        <v>27</v>
      </c>
      <c r="F433" s="1" t="s">
        <v>120</v>
      </c>
      <c r="G433" s="1" t="s">
        <v>125</v>
      </c>
      <c r="H433" s="1" t="s">
        <v>105</v>
      </c>
      <c r="I433">
        <v>1166</v>
      </c>
      <c r="J433">
        <v>2285</v>
      </c>
      <c r="K433">
        <v>1481</v>
      </c>
      <c r="L433">
        <v>2750</v>
      </c>
      <c r="M433">
        <v>7682</v>
      </c>
      <c r="N433" s="2">
        <v>45747</v>
      </c>
      <c r="O433" s="2">
        <v>45767</v>
      </c>
      <c r="P433" s="1" t="s">
        <v>14</v>
      </c>
      <c r="Q433" s="1" t="s">
        <v>21</v>
      </c>
      <c r="R433" s="1" t="s">
        <v>87</v>
      </c>
      <c r="S433">
        <v>157</v>
      </c>
      <c r="T433" s="1" t="s">
        <v>1223</v>
      </c>
    </row>
    <row r="434" spans="1:20" x14ac:dyDescent="0.3">
      <c r="A434" s="1" t="s">
        <v>1224</v>
      </c>
      <c r="B434" s="1" t="s">
        <v>1225</v>
      </c>
      <c r="C434">
        <v>15</v>
      </c>
      <c r="D434" s="1" t="s">
        <v>12</v>
      </c>
      <c r="E434" s="1" t="s">
        <v>20</v>
      </c>
      <c r="F434" s="1" t="s">
        <v>120</v>
      </c>
      <c r="G434" s="1" t="s">
        <v>176</v>
      </c>
      <c r="H434" s="1" t="s">
        <v>215</v>
      </c>
      <c r="I434">
        <v>804</v>
      </c>
      <c r="J434">
        <v>2775</v>
      </c>
      <c r="K434">
        <v>7504</v>
      </c>
      <c r="L434">
        <v>13849</v>
      </c>
      <c r="M434">
        <v>24932</v>
      </c>
      <c r="N434" s="2">
        <v>45732</v>
      </c>
      <c r="O434" s="2">
        <v>45843</v>
      </c>
      <c r="P434" s="1" t="s">
        <v>116</v>
      </c>
      <c r="Q434" s="1" t="s">
        <v>21</v>
      </c>
      <c r="R434" s="1" t="s">
        <v>22</v>
      </c>
      <c r="S434">
        <v>760</v>
      </c>
      <c r="T434" s="1" t="s">
        <v>1226</v>
      </c>
    </row>
    <row r="435" spans="1:20" x14ac:dyDescent="0.3">
      <c r="A435" s="1" t="s">
        <v>1227</v>
      </c>
      <c r="B435" s="1" t="s">
        <v>331</v>
      </c>
      <c r="C435">
        <v>85</v>
      </c>
      <c r="D435" s="1" t="s">
        <v>23</v>
      </c>
      <c r="E435" s="1" t="s">
        <v>40</v>
      </c>
      <c r="F435" s="1" t="s">
        <v>84</v>
      </c>
      <c r="G435" s="1" t="s">
        <v>176</v>
      </c>
      <c r="H435" s="1" t="s">
        <v>165</v>
      </c>
      <c r="I435">
        <v>1431</v>
      </c>
      <c r="J435">
        <v>3651</v>
      </c>
      <c r="K435">
        <v>2833</v>
      </c>
      <c r="L435">
        <v>11468</v>
      </c>
      <c r="M435">
        <v>19383</v>
      </c>
      <c r="N435" s="2">
        <v>46016</v>
      </c>
      <c r="O435" s="2">
        <v>45843</v>
      </c>
      <c r="P435" s="1" t="s">
        <v>35</v>
      </c>
      <c r="Q435" s="1" t="s">
        <v>9</v>
      </c>
      <c r="R435" s="1" t="s">
        <v>17</v>
      </c>
      <c r="S435">
        <v>108</v>
      </c>
      <c r="T435" s="1" t="s">
        <v>1228</v>
      </c>
    </row>
    <row r="436" spans="1:20" x14ac:dyDescent="0.3">
      <c r="A436" s="1" t="s">
        <v>1229</v>
      </c>
      <c r="B436" s="1" t="s">
        <v>214</v>
      </c>
      <c r="C436">
        <v>39</v>
      </c>
      <c r="D436" s="1" t="s">
        <v>23</v>
      </c>
      <c r="E436" s="1" t="s">
        <v>33</v>
      </c>
      <c r="F436" s="1" t="s">
        <v>84</v>
      </c>
      <c r="G436" s="1" t="s">
        <v>91</v>
      </c>
      <c r="H436" s="1" t="s">
        <v>26</v>
      </c>
      <c r="I436">
        <v>730</v>
      </c>
      <c r="J436">
        <v>1812</v>
      </c>
      <c r="K436">
        <v>7802</v>
      </c>
      <c r="L436">
        <v>8190</v>
      </c>
      <c r="M436">
        <v>18534</v>
      </c>
      <c r="N436" s="2">
        <v>45981</v>
      </c>
      <c r="O436" s="2">
        <v>45820</v>
      </c>
      <c r="P436" s="1" t="s">
        <v>93</v>
      </c>
      <c r="Q436" s="1" t="s">
        <v>16</v>
      </c>
      <c r="R436" s="1" t="s">
        <v>17</v>
      </c>
      <c r="S436">
        <v>582</v>
      </c>
      <c r="T436" s="1" t="s">
        <v>1230</v>
      </c>
    </row>
    <row r="437" spans="1:20" x14ac:dyDescent="0.3">
      <c r="A437" s="1" t="s">
        <v>1231</v>
      </c>
      <c r="B437" s="1" t="s">
        <v>1232</v>
      </c>
      <c r="C437">
        <v>55</v>
      </c>
      <c r="D437" s="1" t="s">
        <v>23</v>
      </c>
      <c r="E437" s="1" t="s">
        <v>27</v>
      </c>
      <c r="F437" s="1" t="s">
        <v>109</v>
      </c>
      <c r="G437" s="1" t="s">
        <v>104</v>
      </c>
      <c r="H437" s="1" t="s">
        <v>165</v>
      </c>
      <c r="I437">
        <v>1336</v>
      </c>
      <c r="J437">
        <v>1043</v>
      </c>
      <c r="K437">
        <v>3182</v>
      </c>
      <c r="L437">
        <v>7895</v>
      </c>
      <c r="M437">
        <v>13456</v>
      </c>
      <c r="N437" s="2">
        <v>45966</v>
      </c>
      <c r="O437" s="2">
        <v>45938</v>
      </c>
      <c r="P437" s="1" t="s">
        <v>177</v>
      </c>
      <c r="Q437" s="1" t="s">
        <v>16</v>
      </c>
      <c r="R437" s="1" t="s">
        <v>22</v>
      </c>
      <c r="S437">
        <v>756</v>
      </c>
      <c r="T437" s="1" t="s">
        <v>1233</v>
      </c>
    </row>
    <row r="438" spans="1:20" x14ac:dyDescent="0.3">
      <c r="A438" s="1" t="s">
        <v>1234</v>
      </c>
      <c r="B438" s="1" t="s">
        <v>981</v>
      </c>
      <c r="C438">
        <v>83</v>
      </c>
      <c r="D438" s="1" t="s">
        <v>23</v>
      </c>
      <c r="E438" s="1" t="s">
        <v>40</v>
      </c>
      <c r="F438" s="1" t="s">
        <v>103</v>
      </c>
      <c r="G438" s="1" t="s">
        <v>98</v>
      </c>
      <c r="H438" s="1" t="s">
        <v>155</v>
      </c>
      <c r="I438">
        <v>709</v>
      </c>
      <c r="J438">
        <v>3003</v>
      </c>
      <c r="K438">
        <v>2870</v>
      </c>
      <c r="L438">
        <v>10434</v>
      </c>
      <c r="M438">
        <v>17016</v>
      </c>
      <c r="N438" s="2">
        <v>45700</v>
      </c>
      <c r="O438" s="2">
        <v>45714</v>
      </c>
      <c r="P438" s="1" t="s">
        <v>25</v>
      </c>
      <c r="Q438" s="1" t="s">
        <v>31</v>
      </c>
      <c r="R438" s="1" t="s">
        <v>87</v>
      </c>
      <c r="S438">
        <v>802</v>
      </c>
      <c r="T438" s="1" t="s">
        <v>1235</v>
      </c>
    </row>
    <row r="439" spans="1:20" x14ac:dyDescent="0.3">
      <c r="A439" s="1" t="s">
        <v>1236</v>
      </c>
      <c r="B439" s="1" t="s">
        <v>1237</v>
      </c>
      <c r="C439">
        <v>62</v>
      </c>
      <c r="D439" s="1" t="s">
        <v>23</v>
      </c>
      <c r="E439" s="1" t="s">
        <v>38</v>
      </c>
      <c r="F439" s="1" t="s">
        <v>124</v>
      </c>
      <c r="G439" s="1" t="s">
        <v>125</v>
      </c>
      <c r="H439" s="1" t="s">
        <v>145</v>
      </c>
      <c r="I439">
        <v>970</v>
      </c>
      <c r="J439">
        <v>2808</v>
      </c>
      <c r="K439">
        <v>1927</v>
      </c>
      <c r="L439">
        <v>2382</v>
      </c>
      <c r="M439">
        <v>8087</v>
      </c>
      <c r="N439" s="2">
        <v>45870</v>
      </c>
      <c r="O439" s="2">
        <v>45846</v>
      </c>
      <c r="P439" s="1" t="s">
        <v>25</v>
      </c>
      <c r="Q439" s="1" t="s">
        <v>31</v>
      </c>
      <c r="R439" s="1" t="s">
        <v>22</v>
      </c>
      <c r="S439">
        <v>123</v>
      </c>
      <c r="T439" s="1" t="s">
        <v>1238</v>
      </c>
    </row>
    <row r="440" spans="1:20" x14ac:dyDescent="0.3">
      <c r="A440" s="1" t="s">
        <v>1239</v>
      </c>
      <c r="B440" s="1" t="s">
        <v>537</v>
      </c>
      <c r="C440">
        <v>81</v>
      </c>
      <c r="D440" s="1" t="s">
        <v>23</v>
      </c>
      <c r="E440" s="1" t="s">
        <v>38</v>
      </c>
      <c r="F440" s="1" t="s">
        <v>114</v>
      </c>
      <c r="G440" s="1" t="s">
        <v>98</v>
      </c>
      <c r="H440" s="1" t="s">
        <v>92</v>
      </c>
      <c r="I440">
        <v>706</v>
      </c>
      <c r="J440">
        <v>2644</v>
      </c>
      <c r="K440">
        <v>6044</v>
      </c>
      <c r="L440">
        <v>14956</v>
      </c>
      <c r="M440">
        <v>24350</v>
      </c>
      <c r="N440" s="2">
        <v>45744</v>
      </c>
      <c r="O440" s="2">
        <v>45683</v>
      </c>
      <c r="P440" s="1" t="s">
        <v>93</v>
      </c>
      <c r="Q440" s="1" t="s">
        <v>21</v>
      </c>
      <c r="R440" s="1" t="s">
        <v>22</v>
      </c>
      <c r="S440">
        <v>191</v>
      </c>
      <c r="T440" s="1" t="s">
        <v>1240</v>
      </c>
    </row>
    <row r="441" spans="1:20" x14ac:dyDescent="0.3">
      <c r="A441" s="1" t="s">
        <v>1241</v>
      </c>
      <c r="B441" s="1" t="s">
        <v>758</v>
      </c>
      <c r="C441">
        <v>16</v>
      </c>
      <c r="D441" s="1" t="s">
        <v>23</v>
      </c>
      <c r="E441" s="1" t="s">
        <v>36</v>
      </c>
      <c r="F441" s="1" t="s">
        <v>120</v>
      </c>
      <c r="G441" s="1" t="s">
        <v>104</v>
      </c>
      <c r="H441" s="1" t="s">
        <v>92</v>
      </c>
      <c r="I441">
        <v>1312</v>
      </c>
      <c r="J441">
        <v>1470</v>
      </c>
      <c r="K441">
        <v>2138</v>
      </c>
      <c r="L441">
        <v>12691</v>
      </c>
      <c r="M441">
        <v>17611</v>
      </c>
      <c r="N441" s="2">
        <v>45762</v>
      </c>
      <c r="O441" s="2">
        <v>45755</v>
      </c>
      <c r="P441" s="1" t="s">
        <v>14</v>
      </c>
      <c r="Q441" s="1" t="s">
        <v>9</v>
      </c>
      <c r="R441" s="1" t="s">
        <v>17</v>
      </c>
      <c r="S441">
        <v>233</v>
      </c>
      <c r="T441" s="1" t="s">
        <v>1242</v>
      </c>
    </row>
    <row r="442" spans="1:20" x14ac:dyDescent="0.3">
      <c r="A442" s="1" t="s">
        <v>1243</v>
      </c>
      <c r="B442" s="1" t="s">
        <v>508</v>
      </c>
      <c r="C442">
        <v>28</v>
      </c>
      <c r="D442" s="1" t="s">
        <v>12</v>
      </c>
      <c r="E442" s="1" t="s">
        <v>40</v>
      </c>
      <c r="F442" s="1" t="s">
        <v>84</v>
      </c>
      <c r="G442" s="1" t="s">
        <v>98</v>
      </c>
      <c r="H442" s="1" t="s">
        <v>199</v>
      </c>
      <c r="I442">
        <v>669</v>
      </c>
      <c r="J442">
        <v>3846</v>
      </c>
      <c r="K442">
        <v>6791</v>
      </c>
      <c r="L442">
        <v>3391</v>
      </c>
      <c r="M442">
        <v>14697</v>
      </c>
      <c r="N442" s="2">
        <v>45672</v>
      </c>
      <c r="O442" s="2">
        <v>45806</v>
      </c>
      <c r="P442" s="1" t="s">
        <v>14</v>
      </c>
      <c r="Q442" s="1" t="s">
        <v>9</v>
      </c>
      <c r="R442" s="1" t="s">
        <v>22</v>
      </c>
      <c r="S442">
        <v>478</v>
      </c>
      <c r="T442" s="1" t="s">
        <v>1244</v>
      </c>
    </row>
    <row r="443" spans="1:20" x14ac:dyDescent="0.3">
      <c r="A443" s="1" t="s">
        <v>1245</v>
      </c>
      <c r="B443" s="1" t="s">
        <v>54</v>
      </c>
      <c r="C443">
        <v>2</v>
      </c>
      <c r="D443" s="1" t="s">
        <v>12</v>
      </c>
      <c r="E443" s="1" t="s">
        <v>36</v>
      </c>
      <c r="F443" s="1" t="s">
        <v>109</v>
      </c>
      <c r="G443" s="1" t="s">
        <v>158</v>
      </c>
      <c r="H443" s="1" t="s">
        <v>186</v>
      </c>
      <c r="I443">
        <v>1114</v>
      </c>
      <c r="J443">
        <v>2238</v>
      </c>
      <c r="K443">
        <v>6143</v>
      </c>
      <c r="L443">
        <v>7283</v>
      </c>
      <c r="M443">
        <v>16778</v>
      </c>
      <c r="N443" s="2">
        <v>46020</v>
      </c>
      <c r="O443" s="2">
        <v>45874</v>
      </c>
      <c r="P443" s="1" t="s">
        <v>136</v>
      </c>
      <c r="Q443" s="1" t="s">
        <v>16</v>
      </c>
      <c r="R443" s="1" t="s">
        <v>87</v>
      </c>
      <c r="S443">
        <v>160</v>
      </c>
      <c r="T443" s="1" t="s">
        <v>1246</v>
      </c>
    </row>
    <row r="444" spans="1:20" x14ac:dyDescent="0.3">
      <c r="A444" s="1" t="s">
        <v>1247</v>
      </c>
      <c r="B444" s="1" t="s">
        <v>62</v>
      </c>
      <c r="C444">
        <v>61</v>
      </c>
      <c r="D444" s="1" t="s">
        <v>12</v>
      </c>
      <c r="E444" s="1" t="s">
        <v>15</v>
      </c>
      <c r="F444" s="1" t="s">
        <v>103</v>
      </c>
      <c r="G444" s="1" t="s">
        <v>98</v>
      </c>
      <c r="H444" s="1" t="s">
        <v>18</v>
      </c>
      <c r="I444">
        <v>819</v>
      </c>
      <c r="J444">
        <v>4633</v>
      </c>
      <c r="K444">
        <v>5376</v>
      </c>
      <c r="L444">
        <v>7241</v>
      </c>
      <c r="M444">
        <v>18069</v>
      </c>
      <c r="N444" s="2">
        <v>45812</v>
      </c>
      <c r="O444" s="2">
        <v>45860</v>
      </c>
      <c r="P444" s="1" t="s">
        <v>177</v>
      </c>
      <c r="Q444" s="1" t="s">
        <v>16</v>
      </c>
      <c r="R444" s="1" t="s">
        <v>87</v>
      </c>
      <c r="S444">
        <v>283</v>
      </c>
      <c r="T444" s="1" t="s">
        <v>1248</v>
      </c>
    </row>
    <row r="445" spans="1:20" x14ac:dyDescent="0.3">
      <c r="A445" s="1" t="s">
        <v>1249</v>
      </c>
      <c r="B445" s="1" t="s">
        <v>825</v>
      </c>
      <c r="C445">
        <v>64</v>
      </c>
      <c r="D445" s="1" t="s">
        <v>12</v>
      </c>
      <c r="E445" s="1" t="s">
        <v>24</v>
      </c>
      <c r="F445" s="1" t="s">
        <v>135</v>
      </c>
      <c r="G445" s="1" t="s">
        <v>91</v>
      </c>
      <c r="H445" s="1" t="s">
        <v>86</v>
      </c>
      <c r="I445">
        <v>483</v>
      </c>
      <c r="J445">
        <v>3099</v>
      </c>
      <c r="K445">
        <v>6118</v>
      </c>
      <c r="L445">
        <v>9690</v>
      </c>
      <c r="M445">
        <v>19390</v>
      </c>
      <c r="N445" s="2">
        <v>45879</v>
      </c>
      <c r="O445" s="2">
        <v>45730</v>
      </c>
      <c r="P445" s="1" t="s">
        <v>14</v>
      </c>
      <c r="Q445" s="1" t="s">
        <v>16</v>
      </c>
      <c r="R445" s="1" t="s">
        <v>22</v>
      </c>
      <c r="S445">
        <v>611</v>
      </c>
      <c r="T445" s="1" t="s">
        <v>1250</v>
      </c>
    </row>
    <row r="446" spans="1:20" x14ac:dyDescent="0.3">
      <c r="A446" s="1" t="s">
        <v>1251</v>
      </c>
      <c r="B446" s="1" t="s">
        <v>426</v>
      </c>
      <c r="C446">
        <v>56</v>
      </c>
      <c r="D446" s="1" t="s">
        <v>12</v>
      </c>
      <c r="E446" s="1" t="s">
        <v>27</v>
      </c>
      <c r="F446" s="1" t="s">
        <v>124</v>
      </c>
      <c r="G446" s="1" t="s">
        <v>158</v>
      </c>
      <c r="H446" s="1" t="s">
        <v>165</v>
      </c>
      <c r="I446">
        <v>1358</v>
      </c>
      <c r="J446">
        <v>3064</v>
      </c>
      <c r="K446">
        <v>3869</v>
      </c>
      <c r="L446">
        <v>3703</v>
      </c>
      <c r="M446">
        <v>11994</v>
      </c>
      <c r="N446" s="2">
        <v>45819</v>
      </c>
      <c r="O446" s="2">
        <v>45909</v>
      </c>
      <c r="P446" s="1" t="s">
        <v>25</v>
      </c>
      <c r="Q446" s="1" t="s">
        <v>31</v>
      </c>
      <c r="R446" s="1" t="s">
        <v>22</v>
      </c>
      <c r="S446">
        <v>155</v>
      </c>
      <c r="T446" s="1" t="s">
        <v>1252</v>
      </c>
    </row>
    <row r="447" spans="1:20" x14ac:dyDescent="0.3">
      <c r="A447" s="1" t="s">
        <v>1253</v>
      </c>
      <c r="B447" s="1" t="s">
        <v>1254</v>
      </c>
      <c r="C447">
        <v>61</v>
      </c>
      <c r="D447" s="1" t="s">
        <v>12</v>
      </c>
      <c r="E447" s="1" t="s">
        <v>27</v>
      </c>
      <c r="F447" s="1" t="s">
        <v>109</v>
      </c>
      <c r="G447" s="1" t="s">
        <v>125</v>
      </c>
      <c r="H447" s="1" t="s">
        <v>92</v>
      </c>
      <c r="I447">
        <v>1193</v>
      </c>
      <c r="J447">
        <v>1450</v>
      </c>
      <c r="K447">
        <v>7633</v>
      </c>
      <c r="L447">
        <v>9108</v>
      </c>
      <c r="M447">
        <v>19384</v>
      </c>
      <c r="N447" s="2">
        <v>45678</v>
      </c>
      <c r="O447" s="2">
        <v>45884</v>
      </c>
      <c r="P447" s="1" t="s">
        <v>177</v>
      </c>
      <c r="Q447" s="1" t="s">
        <v>9</v>
      </c>
      <c r="R447" s="1" t="s">
        <v>22</v>
      </c>
      <c r="S447">
        <v>966</v>
      </c>
      <c r="T447" s="1" t="s">
        <v>1255</v>
      </c>
    </row>
    <row r="448" spans="1:20" x14ac:dyDescent="0.3">
      <c r="A448" s="1" t="s">
        <v>1256</v>
      </c>
      <c r="B448" s="1" t="s">
        <v>1257</v>
      </c>
      <c r="C448">
        <v>45</v>
      </c>
      <c r="D448" s="1" t="s">
        <v>23</v>
      </c>
      <c r="E448" s="1" t="s">
        <v>40</v>
      </c>
      <c r="F448" s="1" t="s">
        <v>84</v>
      </c>
      <c r="G448" s="1" t="s">
        <v>98</v>
      </c>
      <c r="H448" s="1" t="s">
        <v>26</v>
      </c>
      <c r="I448">
        <v>669</v>
      </c>
      <c r="J448">
        <v>1878</v>
      </c>
      <c r="K448">
        <v>6443</v>
      </c>
      <c r="L448">
        <v>9335</v>
      </c>
      <c r="M448">
        <v>18325</v>
      </c>
      <c r="N448" s="2">
        <v>45797</v>
      </c>
      <c r="O448" s="2">
        <v>45946</v>
      </c>
      <c r="P448" s="1" t="s">
        <v>136</v>
      </c>
      <c r="Q448" s="1" t="s">
        <v>16</v>
      </c>
      <c r="R448" s="1" t="s">
        <v>87</v>
      </c>
      <c r="S448">
        <v>885</v>
      </c>
      <c r="T448" s="1" t="s">
        <v>1258</v>
      </c>
    </row>
    <row r="449" spans="1:20" x14ac:dyDescent="0.3">
      <c r="A449" s="1" t="s">
        <v>1259</v>
      </c>
      <c r="B449" s="1" t="s">
        <v>1260</v>
      </c>
      <c r="C449">
        <v>10</v>
      </c>
      <c r="D449" s="1" t="s">
        <v>23</v>
      </c>
      <c r="E449" s="1" t="s">
        <v>20</v>
      </c>
      <c r="F449" s="1" t="s">
        <v>135</v>
      </c>
      <c r="G449" s="1" t="s">
        <v>98</v>
      </c>
      <c r="H449" s="1" t="s">
        <v>13</v>
      </c>
      <c r="I449">
        <v>973</v>
      </c>
      <c r="J449">
        <v>712</v>
      </c>
      <c r="K449">
        <v>2628</v>
      </c>
      <c r="L449">
        <v>12162</v>
      </c>
      <c r="M449">
        <v>16475</v>
      </c>
      <c r="N449" s="2">
        <v>46006</v>
      </c>
      <c r="O449" s="2">
        <v>45720</v>
      </c>
      <c r="P449" s="1" t="s">
        <v>93</v>
      </c>
      <c r="Q449" s="1" t="s">
        <v>16</v>
      </c>
      <c r="R449" s="1" t="s">
        <v>17</v>
      </c>
      <c r="S449">
        <v>257</v>
      </c>
      <c r="T449" s="1" t="s">
        <v>1261</v>
      </c>
    </row>
    <row r="450" spans="1:20" x14ac:dyDescent="0.3">
      <c r="A450" s="1" t="s">
        <v>1262</v>
      </c>
      <c r="B450" s="1" t="s">
        <v>407</v>
      </c>
      <c r="C450">
        <v>85</v>
      </c>
      <c r="D450" s="1" t="s">
        <v>12</v>
      </c>
      <c r="E450" s="1" t="s">
        <v>15</v>
      </c>
      <c r="F450" s="1" t="s">
        <v>135</v>
      </c>
      <c r="G450" s="1" t="s">
        <v>85</v>
      </c>
      <c r="H450" s="1" t="s">
        <v>165</v>
      </c>
      <c r="I450">
        <v>311</v>
      </c>
      <c r="J450">
        <v>3198</v>
      </c>
      <c r="K450">
        <v>659</v>
      </c>
      <c r="L450">
        <v>11750</v>
      </c>
      <c r="M450">
        <v>15918</v>
      </c>
      <c r="N450" s="2">
        <v>45976</v>
      </c>
      <c r="O450" s="2">
        <v>45889</v>
      </c>
      <c r="P450" s="1" t="s">
        <v>177</v>
      </c>
      <c r="Q450" s="1" t="s">
        <v>16</v>
      </c>
      <c r="R450" s="1" t="s">
        <v>87</v>
      </c>
      <c r="S450">
        <v>389</v>
      </c>
      <c r="T450" s="1" t="s">
        <v>1263</v>
      </c>
    </row>
    <row r="451" spans="1:20" x14ac:dyDescent="0.3">
      <c r="A451" s="1" t="s">
        <v>1264</v>
      </c>
      <c r="B451" s="1" t="s">
        <v>511</v>
      </c>
      <c r="C451">
        <v>71</v>
      </c>
      <c r="D451" s="1" t="s">
        <v>12</v>
      </c>
      <c r="E451" s="1" t="s">
        <v>40</v>
      </c>
      <c r="F451" s="1" t="s">
        <v>114</v>
      </c>
      <c r="G451" s="1" t="s">
        <v>85</v>
      </c>
      <c r="H451" s="1" t="s">
        <v>155</v>
      </c>
      <c r="I451">
        <v>822</v>
      </c>
      <c r="J451">
        <v>1958</v>
      </c>
      <c r="K451">
        <v>2266</v>
      </c>
      <c r="L451">
        <v>13630</v>
      </c>
      <c r="M451">
        <v>18676</v>
      </c>
      <c r="N451" s="2">
        <v>45862</v>
      </c>
      <c r="O451" s="2">
        <v>45703</v>
      </c>
      <c r="P451" s="1" t="s">
        <v>34</v>
      </c>
      <c r="Q451" s="1" t="s">
        <v>9</v>
      </c>
      <c r="R451" s="1" t="s">
        <v>17</v>
      </c>
      <c r="S451">
        <v>391</v>
      </c>
      <c r="T451" s="1" t="s">
        <v>1265</v>
      </c>
    </row>
    <row r="452" spans="1:20" x14ac:dyDescent="0.3">
      <c r="A452" s="1" t="s">
        <v>1266</v>
      </c>
      <c r="B452" s="1" t="s">
        <v>1257</v>
      </c>
      <c r="C452">
        <v>39</v>
      </c>
      <c r="D452" s="1" t="s">
        <v>12</v>
      </c>
      <c r="E452" s="1" t="s">
        <v>27</v>
      </c>
      <c r="F452" s="1" t="s">
        <v>120</v>
      </c>
      <c r="G452" s="1" t="s">
        <v>125</v>
      </c>
      <c r="H452" s="1" t="s">
        <v>26</v>
      </c>
      <c r="I452">
        <v>568</v>
      </c>
      <c r="J452">
        <v>3441</v>
      </c>
      <c r="K452">
        <v>5751</v>
      </c>
      <c r="L452">
        <v>2574</v>
      </c>
      <c r="M452">
        <v>12334</v>
      </c>
      <c r="N452" s="2">
        <v>45846</v>
      </c>
      <c r="O452" s="2">
        <v>45920</v>
      </c>
      <c r="P452" s="1" t="s">
        <v>19</v>
      </c>
      <c r="Q452" s="1" t="s">
        <v>9</v>
      </c>
      <c r="R452" s="1" t="s">
        <v>17</v>
      </c>
      <c r="S452">
        <v>374</v>
      </c>
      <c r="T452" s="1" t="s">
        <v>1267</v>
      </c>
    </row>
    <row r="453" spans="1:20" x14ac:dyDescent="0.3">
      <c r="A453" s="1" t="s">
        <v>1268</v>
      </c>
      <c r="B453" s="1" t="s">
        <v>1046</v>
      </c>
      <c r="C453">
        <v>12</v>
      </c>
      <c r="D453" s="1" t="s">
        <v>12</v>
      </c>
      <c r="E453" s="1" t="s">
        <v>40</v>
      </c>
      <c r="F453" s="1" t="s">
        <v>97</v>
      </c>
      <c r="G453" s="1" t="s">
        <v>104</v>
      </c>
      <c r="H453" s="1" t="s">
        <v>145</v>
      </c>
      <c r="I453">
        <v>1189</v>
      </c>
      <c r="J453">
        <v>3989</v>
      </c>
      <c r="K453">
        <v>1061</v>
      </c>
      <c r="L453">
        <v>1662</v>
      </c>
      <c r="M453">
        <v>7901</v>
      </c>
      <c r="N453" s="2">
        <v>45920</v>
      </c>
      <c r="O453" s="2">
        <v>45832</v>
      </c>
      <c r="P453" s="1" t="s">
        <v>116</v>
      </c>
      <c r="Q453" s="1" t="s">
        <v>31</v>
      </c>
      <c r="R453" s="1" t="s">
        <v>17</v>
      </c>
      <c r="S453">
        <v>639</v>
      </c>
      <c r="T453" s="1" t="s">
        <v>1269</v>
      </c>
    </row>
    <row r="454" spans="1:20" x14ac:dyDescent="0.3">
      <c r="A454" s="1" t="s">
        <v>1270</v>
      </c>
      <c r="B454" s="1" t="s">
        <v>1271</v>
      </c>
      <c r="C454">
        <v>38</v>
      </c>
      <c r="D454" s="1" t="s">
        <v>12</v>
      </c>
      <c r="E454" s="1" t="s">
        <v>38</v>
      </c>
      <c r="F454" s="1" t="s">
        <v>120</v>
      </c>
      <c r="G454" s="1" t="s">
        <v>91</v>
      </c>
      <c r="H454" s="1" t="s">
        <v>37</v>
      </c>
      <c r="I454">
        <v>1278</v>
      </c>
      <c r="J454">
        <v>2960</v>
      </c>
      <c r="K454">
        <v>1517</v>
      </c>
      <c r="L454">
        <v>3093</v>
      </c>
      <c r="M454">
        <v>8848</v>
      </c>
      <c r="N454" s="2">
        <v>46008</v>
      </c>
      <c r="O454" s="2">
        <v>45811</v>
      </c>
      <c r="P454" s="1" t="s">
        <v>19</v>
      </c>
      <c r="Q454" s="1" t="s">
        <v>16</v>
      </c>
      <c r="R454" s="1" t="s">
        <v>87</v>
      </c>
      <c r="S454">
        <v>178</v>
      </c>
      <c r="T454" s="1" t="s">
        <v>1272</v>
      </c>
    </row>
    <row r="455" spans="1:20" x14ac:dyDescent="0.3">
      <c r="A455" s="1" t="s">
        <v>1273</v>
      </c>
      <c r="B455" s="1" t="s">
        <v>978</v>
      </c>
      <c r="C455">
        <v>14</v>
      </c>
      <c r="D455" s="1" t="s">
        <v>12</v>
      </c>
      <c r="E455" s="1" t="s">
        <v>33</v>
      </c>
      <c r="F455" s="1" t="s">
        <v>120</v>
      </c>
      <c r="G455" s="1" t="s">
        <v>158</v>
      </c>
      <c r="H455" s="1" t="s">
        <v>13</v>
      </c>
      <c r="I455">
        <v>1251</v>
      </c>
      <c r="J455">
        <v>2575</v>
      </c>
      <c r="K455">
        <v>3211</v>
      </c>
      <c r="L455">
        <v>5175</v>
      </c>
      <c r="M455">
        <v>12212</v>
      </c>
      <c r="N455" s="2">
        <v>45957</v>
      </c>
      <c r="O455" s="2">
        <v>45699</v>
      </c>
      <c r="P455" s="1" t="s">
        <v>110</v>
      </c>
      <c r="Q455" s="1" t="s">
        <v>9</v>
      </c>
      <c r="R455" s="1" t="s">
        <v>22</v>
      </c>
      <c r="S455">
        <v>905</v>
      </c>
      <c r="T455" s="1" t="s">
        <v>1274</v>
      </c>
    </row>
    <row r="456" spans="1:20" x14ac:dyDescent="0.3">
      <c r="A456" s="1" t="s">
        <v>1275</v>
      </c>
      <c r="B456" s="1" t="s">
        <v>1276</v>
      </c>
      <c r="C456">
        <v>11</v>
      </c>
      <c r="D456" s="1" t="s">
        <v>12</v>
      </c>
      <c r="E456" s="1" t="s">
        <v>40</v>
      </c>
      <c r="F456" s="1" t="s">
        <v>124</v>
      </c>
      <c r="G456" s="1" t="s">
        <v>85</v>
      </c>
      <c r="H456" s="1" t="s">
        <v>186</v>
      </c>
      <c r="I456">
        <v>1231</v>
      </c>
      <c r="J456">
        <v>4185</v>
      </c>
      <c r="K456">
        <v>5410</v>
      </c>
      <c r="L456">
        <v>14235</v>
      </c>
      <c r="M456">
        <v>25061</v>
      </c>
      <c r="N456" s="2">
        <v>45793</v>
      </c>
      <c r="O456" s="2">
        <v>45832</v>
      </c>
      <c r="P456" s="1" t="s">
        <v>25</v>
      </c>
      <c r="Q456" s="1" t="s">
        <v>16</v>
      </c>
      <c r="R456" s="1" t="s">
        <v>87</v>
      </c>
      <c r="S456">
        <v>718</v>
      </c>
      <c r="T456" s="1" t="s">
        <v>1277</v>
      </c>
    </row>
    <row r="457" spans="1:20" x14ac:dyDescent="0.3">
      <c r="A457" s="1" t="s">
        <v>1278</v>
      </c>
      <c r="B457" s="1" t="s">
        <v>1279</v>
      </c>
      <c r="C457">
        <v>69</v>
      </c>
      <c r="D457" s="1" t="s">
        <v>23</v>
      </c>
      <c r="E457" s="1" t="s">
        <v>27</v>
      </c>
      <c r="F457" s="1" t="s">
        <v>103</v>
      </c>
      <c r="G457" s="1" t="s">
        <v>91</v>
      </c>
      <c r="H457" s="1" t="s">
        <v>155</v>
      </c>
      <c r="I457">
        <v>538</v>
      </c>
      <c r="J457">
        <v>608</v>
      </c>
      <c r="K457">
        <v>1706</v>
      </c>
      <c r="L457">
        <v>11744</v>
      </c>
      <c r="M457">
        <v>14596</v>
      </c>
      <c r="N457" s="2">
        <v>45902</v>
      </c>
      <c r="O457" s="2">
        <v>45893</v>
      </c>
      <c r="P457" s="1" t="s">
        <v>93</v>
      </c>
      <c r="Q457" s="1" t="s">
        <v>21</v>
      </c>
      <c r="R457" s="1" t="s">
        <v>87</v>
      </c>
      <c r="S457">
        <v>789</v>
      </c>
      <c r="T457" s="1" t="s">
        <v>1280</v>
      </c>
    </row>
    <row r="458" spans="1:20" x14ac:dyDescent="0.3">
      <c r="A458" s="1" t="s">
        <v>1281</v>
      </c>
      <c r="B458" s="1" t="s">
        <v>1282</v>
      </c>
      <c r="C458">
        <v>12</v>
      </c>
      <c r="D458" s="1" t="s">
        <v>23</v>
      </c>
      <c r="E458" s="1" t="s">
        <v>40</v>
      </c>
      <c r="F458" s="1" t="s">
        <v>109</v>
      </c>
      <c r="G458" s="1" t="s">
        <v>125</v>
      </c>
      <c r="H458" s="1" t="s">
        <v>18</v>
      </c>
      <c r="I458">
        <v>690</v>
      </c>
      <c r="J458">
        <v>1416</v>
      </c>
      <c r="K458">
        <v>6984</v>
      </c>
      <c r="L458">
        <v>1260</v>
      </c>
      <c r="M458">
        <v>10350</v>
      </c>
      <c r="N458" s="2">
        <v>46014</v>
      </c>
      <c r="O458" s="2">
        <v>45754</v>
      </c>
      <c r="P458" s="1" t="s">
        <v>34</v>
      </c>
      <c r="Q458" s="1" t="s">
        <v>31</v>
      </c>
      <c r="R458" s="1" t="s">
        <v>87</v>
      </c>
      <c r="S458">
        <v>347</v>
      </c>
      <c r="T458" s="1" t="s">
        <v>1283</v>
      </c>
    </row>
    <row r="459" spans="1:20" x14ac:dyDescent="0.3">
      <c r="A459" s="1" t="s">
        <v>1284</v>
      </c>
      <c r="B459" s="1" t="s">
        <v>90</v>
      </c>
      <c r="C459">
        <v>12</v>
      </c>
      <c r="D459" s="1" t="s">
        <v>12</v>
      </c>
      <c r="E459" s="1" t="s">
        <v>27</v>
      </c>
      <c r="F459" s="1" t="s">
        <v>135</v>
      </c>
      <c r="G459" s="1" t="s">
        <v>125</v>
      </c>
      <c r="H459" s="1" t="s">
        <v>86</v>
      </c>
      <c r="I459">
        <v>1270</v>
      </c>
      <c r="J459">
        <v>3956</v>
      </c>
      <c r="K459">
        <v>478</v>
      </c>
      <c r="L459">
        <v>2908</v>
      </c>
      <c r="M459">
        <v>8612</v>
      </c>
      <c r="N459" s="2">
        <v>45743</v>
      </c>
      <c r="O459" s="2">
        <v>45736</v>
      </c>
      <c r="P459" s="1" t="s">
        <v>116</v>
      </c>
      <c r="Q459" s="1" t="s">
        <v>16</v>
      </c>
      <c r="R459" s="1" t="s">
        <v>17</v>
      </c>
      <c r="S459">
        <v>699</v>
      </c>
      <c r="T459" s="1" t="s">
        <v>1285</v>
      </c>
    </row>
    <row r="460" spans="1:20" x14ac:dyDescent="0.3">
      <c r="A460" s="1" t="s">
        <v>1286</v>
      </c>
      <c r="B460" s="1" t="s">
        <v>134</v>
      </c>
      <c r="C460">
        <v>73</v>
      </c>
      <c r="D460" s="1" t="s">
        <v>12</v>
      </c>
      <c r="E460" s="1" t="s">
        <v>36</v>
      </c>
      <c r="F460" s="1" t="s">
        <v>103</v>
      </c>
      <c r="G460" s="1" t="s">
        <v>158</v>
      </c>
      <c r="H460" s="1" t="s">
        <v>186</v>
      </c>
      <c r="I460">
        <v>316</v>
      </c>
      <c r="J460">
        <v>1341</v>
      </c>
      <c r="K460">
        <v>5464</v>
      </c>
      <c r="L460">
        <v>14887</v>
      </c>
      <c r="M460">
        <v>22008</v>
      </c>
      <c r="N460" s="2">
        <v>45879</v>
      </c>
      <c r="O460" s="2">
        <v>45870</v>
      </c>
      <c r="P460" s="1" t="s">
        <v>116</v>
      </c>
      <c r="Q460" s="1" t="s">
        <v>9</v>
      </c>
      <c r="R460" s="1" t="s">
        <v>17</v>
      </c>
      <c r="S460">
        <v>597</v>
      </c>
      <c r="T460" s="1" t="s">
        <v>1287</v>
      </c>
    </row>
    <row r="461" spans="1:20" x14ac:dyDescent="0.3">
      <c r="A461" s="1" t="s">
        <v>1288</v>
      </c>
      <c r="B461" s="1" t="s">
        <v>795</v>
      </c>
      <c r="C461">
        <v>63</v>
      </c>
      <c r="D461" s="1" t="s">
        <v>23</v>
      </c>
      <c r="E461" s="1" t="s">
        <v>27</v>
      </c>
      <c r="F461" s="1" t="s">
        <v>103</v>
      </c>
      <c r="G461" s="1" t="s">
        <v>158</v>
      </c>
      <c r="H461" s="1" t="s">
        <v>18</v>
      </c>
      <c r="I461">
        <v>1164</v>
      </c>
      <c r="J461">
        <v>3087</v>
      </c>
      <c r="K461">
        <v>4832</v>
      </c>
      <c r="L461">
        <v>2040</v>
      </c>
      <c r="M461">
        <v>11123</v>
      </c>
      <c r="N461" s="2">
        <v>45795</v>
      </c>
      <c r="O461" s="2">
        <v>45989</v>
      </c>
      <c r="P461" s="1" t="s">
        <v>93</v>
      </c>
      <c r="Q461" s="1" t="s">
        <v>9</v>
      </c>
      <c r="R461" s="1" t="s">
        <v>87</v>
      </c>
      <c r="S461">
        <v>761</v>
      </c>
      <c r="T461" s="1" t="s">
        <v>1289</v>
      </c>
    </row>
    <row r="462" spans="1:20" x14ac:dyDescent="0.3">
      <c r="A462" s="1" t="s">
        <v>1290</v>
      </c>
      <c r="B462" s="1" t="s">
        <v>1153</v>
      </c>
      <c r="C462">
        <v>3</v>
      </c>
      <c r="D462" s="1" t="s">
        <v>23</v>
      </c>
      <c r="E462" s="1" t="s">
        <v>20</v>
      </c>
      <c r="F462" s="1" t="s">
        <v>124</v>
      </c>
      <c r="G462" s="1" t="s">
        <v>98</v>
      </c>
      <c r="H462" s="1" t="s">
        <v>115</v>
      </c>
      <c r="I462">
        <v>1261</v>
      </c>
      <c r="J462">
        <v>3316</v>
      </c>
      <c r="K462">
        <v>3889</v>
      </c>
      <c r="L462">
        <v>4802</v>
      </c>
      <c r="M462">
        <v>13268</v>
      </c>
      <c r="N462" s="2">
        <v>45917</v>
      </c>
      <c r="O462" s="2">
        <v>45770</v>
      </c>
      <c r="P462" s="1" t="s">
        <v>136</v>
      </c>
      <c r="Q462" s="1" t="s">
        <v>9</v>
      </c>
      <c r="R462" s="1" t="s">
        <v>22</v>
      </c>
      <c r="S462">
        <v>400</v>
      </c>
      <c r="T462" s="1" t="s">
        <v>1291</v>
      </c>
    </row>
    <row r="463" spans="1:20" x14ac:dyDescent="0.3">
      <c r="A463" s="1" t="s">
        <v>1292</v>
      </c>
      <c r="B463" s="1" t="s">
        <v>208</v>
      </c>
      <c r="C463">
        <v>84</v>
      </c>
      <c r="D463" s="1" t="s">
        <v>12</v>
      </c>
      <c r="E463" s="1" t="s">
        <v>15</v>
      </c>
      <c r="F463" s="1" t="s">
        <v>135</v>
      </c>
      <c r="G463" s="1" t="s">
        <v>85</v>
      </c>
      <c r="H463" s="1" t="s">
        <v>145</v>
      </c>
      <c r="I463">
        <v>724</v>
      </c>
      <c r="J463">
        <v>2813</v>
      </c>
      <c r="K463">
        <v>5958</v>
      </c>
      <c r="L463">
        <v>13275</v>
      </c>
      <c r="M463">
        <v>22770</v>
      </c>
      <c r="N463" s="2">
        <v>45702</v>
      </c>
      <c r="O463" s="2">
        <v>45999</v>
      </c>
      <c r="P463" s="1" t="s">
        <v>116</v>
      </c>
      <c r="Q463" s="1" t="s">
        <v>31</v>
      </c>
      <c r="R463" s="1" t="s">
        <v>22</v>
      </c>
      <c r="S463">
        <v>720</v>
      </c>
      <c r="T463" s="1" t="s">
        <v>1293</v>
      </c>
    </row>
    <row r="464" spans="1:20" x14ac:dyDescent="0.3">
      <c r="A464" s="1" t="s">
        <v>1294</v>
      </c>
      <c r="B464" s="1" t="s">
        <v>1279</v>
      </c>
      <c r="C464">
        <v>64</v>
      </c>
      <c r="D464" s="1" t="s">
        <v>12</v>
      </c>
      <c r="E464" s="1" t="s">
        <v>15</v>
      </c>
      <c r="F464" s="1" t="s">
        <v>84</v>
      </c>
      <c r="G464" s="1" t="s">
        <v>176</v>
      </c>
      <c r="H464" s="1" t="s">
        <v>115</v>
      </c>
      <c r="I464">
        <v>1440</v>
      </c>
      <c r="J464">
        <v>885</v>
      </c>
      <c r="K464">
        <v>448</v>
      </c>
      <c r="L464">
        <v>6878</v>
      </c>
      <c r="M464">
        <v>9651</v>
      </c>
      <c r="N464" s="2">
        <v>45791</v>
      </c>
      <c r="O464" s="2">
        <v>45840</v>
      </c>
      <c r="P464" s="1" t="s">
        <v>25</v>
      </c>
      <c r="Q464" s="1" t="s">
        <v>16</v>
      </c>
      <c r="R464" s="1" t="s">
        <v>22</v>
      </c>
      <c r="S464">
        <v>445</v>
      </c>
      <c r="T464" s="1" t="s">
        <v>1295</v>
      </c>
    </row>
    <row r="465" spans="1:20" x14ac:dyDescent="0.3">
      <c r="A465" s="1" t="s">
        <v>1296</v>
      </c>
      <c r="B465" s="1" t="s">
        <v>1097</v>
      </c>
      <c r="C465">
        <v>30</v>
      </c>
      <c r="D465" s="1" t="s">
        <v>23</v>
      </c>
      <c r="E465" s="1" t="s">
        <v>15</v>
      </c>
      <c r="F465" s="1" t="s">
        <v>84</v>
      </c>
      <c r="G465" s="1" t="s">
        <v>176</v>
      </c>
      <c r="H465" s="1" t="s">
        <v>215</v>
      </c>
      <c r="I465">
        <v>828</v>
      </c>
      <c r="J465">
        <v>3287</v>
      </c>
      <c r="K465">
        <v>6729</v>
      </c>
      <c r="L465">
        <v>6820</v>
      </c>
      <c r="M465">
        <v>17664</v>
      </c>
      <c r="N465" s="2">
        <v>45681</v>
      </c>
      <c r="O465" s="2">
        <v>45943</v>
      </c>
      <c r="P465" s="1" t="s">
        <v>14</v>
      </c>
      <c r="Q465" s="1" t="s">
        <v>16</v>
      </c>
      <c r="R465" s="1" t="s">
        <v>87</v>
      </c>
      <c r="S465">
        <v>151</v>
      </c>
      <c r="T465" s="1" t="s">
        <v>1297</v>
      </c>
    </row>
    <row r="466" spans="1:20" x14ac:dyDescent="0.3">
      <c r="A466" s="1" t="s">
        <v>1298</v>
      </c>
      <c r="B466" s="1" t="s">
        <v>853</v>
      </c>
      <c r="C466">
        <v>15</v>
      </c>
      <c r="D466" s="1" t="s">
        <v>23</v>
      </c>
      <c r="E466" s="1" t="s">
        <v>15</v>
      </c>
      <c r="F466" s="1" t="s">
        <v>114</v>
      </c>
      <c r="G466" s="1" t="s">
        <v>104</v>
      </c>
      <c r="H466" s="1" t="s">
        <v>29</v>
      </c>
      <c r="I466">
        <v>1338</v>
      </c>
      <c r="J466">
        <v>1363</v>
      </c>
      <c r="K466">
        <v>1668</v>
      </c>
      <c r="L466">
        <v>11320</v>
      </c>
      <c r="M466">
        <v>15689</v>
      </c>
      <c r="N466" s="2">
        <v>45718</v>
      </c>
      <c r="O466" s="2">
        <v>45763</v>
      </c>
      <c r="P466" s="1" t="s">
        <v>177</v>
      </c>
      <c r="Q466" s="1" t="s">
        <v>21</v>
      </c>
      <c r="R466" s="1" t="s">
        <v>87</v>
      </c>
      <c r="S466">
        <v>552</v>
      </c>
      <c r="T466" s="1" t="s">
        <v>1299</v>
      </c>
    </row>
    <row r="467" spans="1:20" x14ac:dyDescent="0.3">
      <c r="A467" s="1" t="s">
        <v>1300</v>
      </c>
      <c r="B467" s="1" t="s">
        <v>877</v>
      </c>
      <c r="C467">
        <v>13</v>
      </c>
      <c r="D467" s="1" t="s">
        <v>23</v>
      </c>
      <c r="E467" s="1" t="s">
        <v>40</v>
      </c>
      <c r="F467" s="1" t="s">
        <v>97</v>
      </c>
      <c r="G467" s="1" t="s">
        <v>176</v>
      </c>
      <c r="H467" s="1" t="s">
        <v>186</v>
      </c>
      <c r="I467">
        <v>582</v>
      </c>
      <c r="J467">
        <v>1507</v>
      </c>
      <c r="K467">
        <v>7251</v>
      </c>
      <c r="L467">
        <v>4307</v>
      </c>
      <c r="M467">
        <v>13647</v>
      </c>
      <c r="N467" s="2">
        <v>45882</v>
      </c>
      <c r="O467" s="2">
        <v>45870</v>
      </c>
      <c r="P467" s="1" t="s">
        <v>34</v>
      </c>
      <c r="Q467" s="1" t="s">
        <v>9</v>
      </c>
      <c r="R467" s="1" t="s">
        <v>17</v>
      </c>
      <c r="S467">
        <v>393</v>
      </c>
      <c r="T467" s="1" t="s">
        <v>1301</v>
      </c>
    </row>
    <row r="468" spans="1:20" x14ac:dyDescent="0.3">
      <c r="A468" s="1" t="s">
        <v>1302</v>
      </c>
      <c r="B468" s="1" t="s">
        <v>154</v>
      </c>
      <c r="C468">
        <v>35</v>
      </c>
      <c r="D468" s="1" t="s">
        <v>12</v>
      </c>
      <c r="E468" s="1" t="s">
        <v>15</v>
      </c>
      <c r="F468" s="1" t="s">
        <v>120</v>
      </c>
      <c r="G468" s="1" t="s">
        <v>176</v>
      </c>
      <c r="H468" s="1" t="s">
        <v>99</v>
      </c>
      <c r="I468">
        <v>802</v>
      </c>
      <c r="J468">
        <v>1741</v>
      </c>
      <c r="K468">
        <v>6470</v>
      </c>
      <c r="L468">
        <v>13345</v>
      </c>
      <c r="M468">
        <v>22358</v>
      </c>
      <c r="N468" s="2">
        <v>45929</v>
      </c>
      <c r="O468" s="2">
        <v>45873</v>
      </c>
      <c r="P468" s="1" t="s">
        <v>19</v>
      </c>
      <c r="Q468" s="1" t="s">
        <v>9</v>
      </c>
      <c r="R468" s="1" t="s">
        <v>17</v>
      </c>
      <c r="S468">
        <v>519</v>
      </c>
      <c r="T468" s="1" t="s">
        <v>1303</v>
      </c>
    </row>
    <row r="469" spans="1:20" x14ac:dyDescent="0.3">
      <c r="A469" s="1" t="s">
        <v>1304</v>
      </c>
      <c r="B469" s="1" t="s">
        <v>198</v>
      </c>
      <c r="C469">
        <v>47</v>
      </c>
      <c r="D469" s="1" t="s">
        <v>23</v>
      </c>
      <c r="E469" s="1" t="s">
        <v>15</v>
      </c>
      <c r="F469" s="1" t="s">
        <v>135</v>
      </c>
      <c r="G469" s="1" t="s">
        <v>125</v>
      </c>
      <c r="H469" s="1" t="s">
        <v>86</v>
      </c>
      <c r="I469">
        <v>320</v>
      </c>
      <c r="J469">
        <v>4738</v>
      </c>
      <c r="K469">
        <v>870</v>
      </c>
      <c r="L469">
        <v>2389</v>
      </c>
      <c r="M469">
        <v>8317</v>
      </c>
      <c r="N469" s="2">
        <v>45831</v>
      </c>
      <c r="O469" s="2">
        <v>45819</v>
      </c>
      <c r="P469" s="1" t="s">
        <v>93</v>
      </c>
      <c r="Q469" s="1" t="s">
        <v>16</v>
      </c>
      <c r="R469" s="1" t="s">
        <v>17</v>
      </c>
      <c r="S469">
        <v>877</v>
      </c>
      <c r="T469" s="1" t="s">
        <v>1305</v>
      </c>
    </row>
    <row r="470" spans="1:20" x14ac:dyDescent="0.3">
      <c r="A470" s="1" t="s">
        <v>1306</v>
      </c>
      <c r="B470" s="1" t="s">
        <v>575</v>
      </c>
      <c r="C470">
        <v>8</v>
      </c>
      <c r="D470" s="1" t="s">
        <v>12</v>
      </c>
      <c r="E470" s="1" t="s">
        <v>36</v>
      </c>
      <c r="F470" s="1" t="s">
        <v>120</v>
      </c>
      <c r="G470" s="1" t="s">
        <v>98</v>
      </c>
      <c r="H470" s="1" t="s">
        <v>155</v>
      </c>
      <c r="I470">
        <v>1433</v>
      </c>
      <c r="J470">
        <v>2993</v>
      </c>
      <c r="K470">
        <v>6210</v>
      </c>
      <c r="L470">
        <v>13168</v>
      </c>
      <c r="M470">
        <v>23804</v>
      </c>
      <c r="N470" s="2">
        <v>45818</v>
      </c>
      <c r="O470" s="2">
        <v>45834</v>
      </c>
      <c r="P470" s="1" t="s">
        <v>34</v>
      </c>
      <c r="Q470" s="1" t="s">
        <v>31</v>
      </c>
      <c r="R470" s="1" t="s">
        <v>87</v>
      </c>
      <c r="S470">
        <v>513</v>
      </c>
      <c r="T470" s="1" t="s">
        <v>1307</v>
      </c>
    </row>
    <row r="471" spans="1:20" x14ac:dyDescent="0.3">
      <c r="A471" s="1" t="s">
        <v>1308</v>
      </c>
      <c r="B471" s="1" t="s">
        <v>144</v>
      </c>
      <c r="C471">
        <v>80</v>
      </c>
      <c r="D471" s="1" t="s">
        <v>12</v>
      </c>
      <c r="E471" s="1" t="s">
        <v>15</v>
      </c>
      <c r="F471" s="1" t="s">
        <v>97</v>
      </c>
      <c r="G471" s="1" t="s">
        <v>98</v>
      </c>
      <c r="H471" s="1" t="s">
        <v>155</v>
      </c>
      <c r="I471">
        <v>704</v>
      </c>
      <c r="J471">
        <v>2970</v>
      </c>
      <c r="K471">
        <v>990</v>
      </c>
      <c r="L471">
        <v>1605</v>
      </c>
      <c r="M471">
        <v>6269</v>
      </c>
      <c r="N471" s="2">
        <v>45933</v>
      </c>
      <c r="O471" s="2">
        <v>45829</v>
      </c>
      <c r="P471" s="1" t="s">
        <v>93</v>
      </c>
      <c r="Q471" s="1" t="s">
        <v>21</v>
      </c>
      <c r="R471" s="1" t="s">
        <v>22</v>
      </c>
      <c r="S471">
        <v>195</v>
      </c>
      <c r="T471" s="1" t="s">
        <v>1309</v>
      </c>
    </row>
    <row r="472" spans="1:20" x14ac:dyDescent="0.3">
      <c r="A472" s="1" t="s">
        <v>1310</v>
      </c>
      <c r="B472" s="1" t="s">
        <v>1311</v>
      </c>
      <c r="C472">
        <v>67</v>
      </c>
      <c r="D472" s="1" t="s">
        <v>12</v>
      </c>
      <c r="E472" s="1" t="s">
        <v>24</v>
      </c>
      <c r="F472" s="1" t="s">
        <v>109</v>
      </c>
      <c r="G472" s="1" t="s">
        <v>104</v>
      </c>
      <c r="H472" s="1" t="s">
        <v>18</v>
      </c>
      <c r="I472">
        <v>357</v>
      </c>
      <c r="J472">
        <v>4923</v>
      </c>
      <c r="K472">
        <v>5153</v>
      </c>
      <c r="L472">
        <v>5238</v>
      </c>
      <c r="M472">
        <v>15671</v>
      </c>
      <c r="N472" s="2">
        <v>45781</v>
      </c>
      <c r="O472" s="2">
        <v>45813</v>
      </c>
      <c r="P472" s="1" t="s">
        <v>93</v>
      </c>
      <c r="Q472" s="1" t="s">
        <v>16</v>
      </c>
      <c r="R472" s="1" t="s">
        <v>17</v>
      </c>
      <c r="S472">
        <v>365</v>
      </c>
      <c r="T472" s="1" t="s">
        <v>1312</v>
      </c>
    </row>
    <row r="473" spans="1:20" x14ac:dyDescent="0.3">
      <c r="A473" s="1" t="s">
        <v>1313</v>
      </c>
      <c r="B473" s="1" t="s">
        <v>687</v>
      </c>
      <c r="C473">
        <v>16</v>
      </c>
      <c r="D473" s="1" t="s">
        <v>23</v>
      </c>
      <c r="E473" s="1" t="s">
        <v>40</v>
      </c>
      <c r="F473" s="1" t="s">
        <v>114</v>
      </c>
      <c r="G473" s="1" t="s">
        <v>91</v>
      </c>
      <c r="H473" s="1" t="s">
        <v>92</v>
      </c>
      <c r="I473">
        <v>910</v>
      </c>
      <c r="J473">
        <v>542</v>
      </c>
      <c r="K473">
        <v>4012</v>
      </c>
      <c r="L473">
        <v>6553</v>
      </c>
      <c r="M473">
        <v>12017</v>
      </c>
      <c r="N473" s="2">
        <v>45778</v>
      </c>
      <c r="O473" s="2">
        <v>45955</v>
      </c>
      <c r="P473" s="1" t="s">
        <v>136</v>
      </c>
      <c r="Q473" s="1" t="s">
        <v>21</v>
      </c>
      <c r="R473" s="1" t="s">
        <v>17</v>
      </c>
      <c r="S473">
        <v>782</v>
      </c>
      <c r="T473" s="1" t="s">
        <v>1314</v>
      </c>
    </row>
    <row r="474" spans="1:20" x14ac:dyDescent="0.3">
      <c r="A474" s="1" t="s">
        <v>1315</v>
      </c>
      <c r="B474" s="1" t="s">
        <v>396</v>
      </c>
      <c r="C474">
        <v>49</v>
      </c>
      <c r="D474" s="1" t="s">
        <v>23</v>
      </c>
      <c r="E474" s="1" t="s">
        <v>15</v>
      </c>
      <c r="F474" s="1" t="s">
        <v>114</v>
      </c>
      <c r="G474" s="1" t="s">
        <v>104</v>
      </c>
      <c r="H474" s="1" t="s">
        <v>186</v>
      </c>
      <c r="I474">
        <v>1357</v>
      </c>
      <c r="J474">
        <v>2077</v>
      </c>
      <c r="K474">
        <v>7040</v>
      </c>
      <c r="L474">
        <v>13755</v>
      </c>
      <c r="M474">
        <v>24229</v>
      </c>
      <c r="N474" s="2">
        <v>45842</v>
      </c>
      <c r="O474" s="2">
        <v>45890</v>
      </c>
      <c r="P474" s="1" t="s">
        <v>35</v>
      </c>
      <c r="Q474" s="1" t="s">
        <v>9</v>
      </c>
      <c r="R474" s="1" t="s">
        <v>17</v>
      </c>
      <c r="S474">
        <v>183</v>
      </c>
      <c r="T474" s="1" t="s">
        <v>1316</v>
      </c>
    </row>
    <row r="475" spans="1:20" x14ac:dyDescent="0.3">
      <c r="A475" s="1" t="s">
        <v>1317</v>
      </c>
      <c r="B475" s="1" t="s">
        <v>253</v>
      </c>
      <c r="C475">
        <v>17</v>
      </c>
      <c r="D475" s="1" t="s">
        <v>12</v>
      </c>
      <c r="E475" s="1" t="s">
        <v>38</v>
      </c>
      <c r="F475" s="1" t="s">
        <v>84</v>
      </c>
      <c r="G475" s="1" t="s">
        <v>176</v>
      </c>
      <c r="H475" s="1" t="s">
        <v>92</v>
      </c>
      <c r="I475">
        <v>459</v>
      </c>
      <c r="J475">
        <v>3525</v>
      </c>
      <c r="K475">
        <v>5844</v>
      </c>
      <c r="L475">
        <v>9622</v>
      </c>
      <c r="M475">
        <v>19450</v>
      </c>
      <c r="N475" s="2">
        <v>45864</v>
      </c>
      <c r="O475" s="2">
        <v>45959</v>
      </c>
      <c r="P475" s="1" t="s">
        <v>110</v>
      </c>
      <c r="Q475" s="1" t="s">
        <v>21</v>
      </c>
      <c r="R475" s="1" t="s">
        <v>87</v>
      </c>
      <c r="S475">
        <v>610</v>
      </c>
      <c r="T475" s="1" t="s">
        <v>1318</v>
      </c>
    </row>
    <row r="476" spans="1:20" x14ac:dyDescent="0.3">
      <c r="A476" s="1" t="s">
        <v>1319</v>
      </c>
      <c r="B476" s="1" t="s">
        <v>1320</v>
      </c>
      <c r="C476">
        <v>63</v>
      </c>
      <c r="D476" s="1" t="s">
        <v>12</v>
      </c>
      <c r="E476" s="1" t="s">
        <v>24</v>
      </c>
      <c r="F476" s="1" t="s">
        <v>109</v>
      </c>
      <c r="G476" s="1" t="s">
        <v>104</v>
      </c>
      <c r="H476" s="1" t="s">
        <v>86</v>
      </c>
      <c r="I476">
        <v>1335</v>
      </c>
      <c r="J476">
        <v>1541</v>
      </c>
      <c r="K476">
        <v>4271</v>
      </c>
      <c r="L476">
        <v>12651</v>
      </c>
      <c r="M476">
        <v>19798</v>
      </c>
      <c r="N476" s="2">
        <v>45892</v>
      </c>
      <c r="O476" s="2">
        <v>45724</v>
      </c>
      <c r="P476" s="1" t="s">
        <v>110</v>
      </c>
      <c r="Q476" s="1" t="s">
        <v>31</v>
      </c>
      <c r="R476" s="1" t="s">
        <v>17</v>
      </c>
      <c r="S476">
        <v>584</v>
      </c>
      <c r="T476" s="1" t="s">
        <v>1321</v>
      </c>
    </row>
    <row r="477" spans="1:20" x14ac:dyDescent="0.3">
      <c r="A477" s="1" t="s">
        <v>1322</v>
      </c>
      <c r="B477" s="1" t="s">
        <v>1323</v>
      </c>
      <c r="C477">
        <v>48</v>
      </c>
      <c r="D477" s="1" t="s">
        <v>23</v>
      </c>
      <c r="E477" s="1" t="s">
        <v>24</v>
      </c>
      <c r="F477" s="1" t="s">
        <v>120</v>
      </c>
      <c r="G477" s="1" t="s">
        <v>91</v>
      </c>
      <c r="H477" s="1" t="s">
        <v>13</v>
      </c>
      <c r="I477">
        <v>547</v>
      </c>
      <c r="J477">
        <v>3527</v>
      </c>
      <c r="K477">
        <v>4983</v>
      </c>
      <c r="L477">
        <v>5744</v>
      </c>
      <c r="M477">
        <v>14801</v>
      </c>
      <c r="N477" s="2">
        <v>45678</v>
      </c>
      <c r="O477" s="2">
        <v>45925</v>
      </c>
      <c r="P477" s="1" t="s">
        <v>25</v>
      </c>
      <c r="Q477" s="1" t="s">
        <v>21</v>
      </c>
      <c r="R477" s="1" t="s">
        <v>17</v>
      </c>
      <c r="S477">
        <v>410</v>
      </c>
      <c r="T477" s="1" t="s">
        <v>1324</v>
      </c>
    </row>
    <row r="478" spans="1:20" x14ac:dyDescent="0.3">
      <c r="A478" s="1" t="s">
        <v>1325</v>
      </c>
      <c r="B478" s="1" t="s">
        <v>59</v>
      </c>
      <c r="C478">
        <v>19</v>
      </c>
      <c r="D478" s="1" t="s">
        <v>23</v>
      </c>
      <c r="E478" s="1" t="s">
        <v>20</v>
      </c>
      <c r="F478" s="1" t="s">
        <v>120</v>
      </c>
      <c r="G478" s="1" t="s">
        <v>158</v>
      </c>
      <c r="H478" s="1" t="s">
        <v>29</v>
      </c>
      <c r="I478">
        <v>924</v>
      </c>
      <c r="J478">
        <v>2822</v>
      </c>
      <c r="K478">
        <v>2066</v>
      </c>
      <c r="L478">
        <v>3999</v>
      </c>
      <c r="M478">
        <v>9811</v>
      </c>
      <c r="N478" s="2">
        <v>45908</v>
      </c>
      <c r="O478" s="2">
        <v>45659</v>
      </c>
      <c r="P478" s="1" t="s">
        <v>35</v>
      </c>
      <c r="Q478" s="1" t="s">
        <v>16</v>
      </c>
      <c r="R478" s="1" t="s">
        <v>17</v>
      </c>
      <c r="S478">
        <v>592</v>
      </c>
      <c r="T478" s="1" t="s">
        <v>1326</v>
      </c>
    </row>
    <row r="479" spans="1:20" x14ac:dyDescent="0.3">
      <c r="A479" s="1" t="s">
        <v>1327</v>
      </c>
      <c r="B479" s="1" t="s">
        <v>1328</v>
      </c>
      <c r="C479">
        <v>58</v>
      </c>
      <c r="D479" s="1" t="s">
        <v>12</v>
      </c>
      <c r="E479" s="1" t="s">
        <v>15</v>
      </c>
      <c r="F479" s="1" t="s">
        <v>120</v>
      </c>
      <c r="G479" s="1" t="s">
        <v>176</v>
      </c>
      <c r="H479" s="1" t="s">
        <v>215</v>
      </c>
      <c r="I479">
        <v>571</v>
      </c>
      <c r="J479">
        <v>1634</v>
      </c>
      <c r="K479">
        <v>4435</v>
      </c>
      <c r="L479">
        <v>11427</v>
      </c>
      <c r="M479">
        <v>18067</v>
      </c>
      <c r="N479" s="2">
        <v>45893</v>
      </c>
      <c r="O479" s="2">
        <v>45888</v>
      </c>
      <c r="P479" s="1" t="s">
        <v>116</v>
      </c>
      <c r="Q479" s="1" t="s">
        <v>21</v>
      </c>
      <c r="R479" s="1" t="s">
        <v>22</v>
      </c>
      <c r="S479">
        <v>919</v>
      </c>
      <c r="T479" s="1" t="s">
        <v>1329</v>
      </c>
    </row>
    <row r="480" spans="1:20" x14ac:dyDescent="0.3">
      <c r="A480" s="1" t="s">
        <v>1330</v>
      </c>
      <c r="B480" s="1" t="s">
        <v>1046</v>
      </c>
      <c r="C480">
        <v>50</v>
      </c>
      <c r="D480" s="1" t="s">
        <v>23</v>
      </c>
      <c r="E480" s="1" t="s">
        <v>15</v>
      </c>
      <c r="F480" s="1" t="s">
        <v>120</v>
      </c>
      <c r="G480" s="1" t="s">
        <v>104</v>
      </c>
      <c r="H480" s="1" t="s">
        <v>186</v>
      </c>
      <c r="I480">
        <v>1407</v>
      </c>
      <c r="J480">
        <v>875</v>
      </c>
      <c r="K480">
        <v>5792</v>
      </c>
      <c r="L480">
        <v>8259</v>
      </c>
      <c r="M480">
        <v>16333</v>
      </c>
      <c r="N480" s="2">
        <v>45800</v>
      </c>
      <c r="O480" s="2">
        <v>45988</v>
      </c>
      <c r="P480" s="1" t="s">
        <v>35</v>
      </c>
      <c r="Q480" s="1" t="s">
        <v>16</v>
      </c>
      <c r="R480" s="1" t="s">
        <v>87</v>
      </c>
      <c r="S480">
        <v>745</v>
      </c>
      <c r="T480" s="1" t="s">
        <v>1331</v>
      </c>
    </row>
    <row r="481" spans="1:20" x14ac:dyDescent="0.3">
      <c r="A481" s="1" t="s">
        <v>1332</v>
      </c>
      <c r="B481" s="1" t="s">
        <v>1333</v>
      </c>
      <c r="C481">
        <v>83</v>
      </c>
      <c r="D481" s="1" t="s">
        <v>23</v>
      </c>
      <c r="E481" s="1" t="s">
        <v>33</v>
      </c>
      <c r="F481" s="1" t="s">
        <v>114</v>
      </c>
      <c r="G481" s="1" t="s">
        <v>158</v>
      </c>
      <c r="H481" s="1" t="s">
        <v>115</v>
      </c>
      <c r="I481">
        <v>1409</v>
      </c>
      <c r="J481">
        <v>933</v>
      </c>
      <c r="K481">
        <v>4971</v>
      </c>
      <c r="L481">
        <v>9548</v>
      </c>
      <c r="M481">
        <v>16861</v>
      </c>
      <c r="N481" s="2">
        <v>45754</v>
      </c>
      <c r="O481" s="2">
        <v>45901</v>
      </c>
      <c r="P481" s="1" t="s">
        <v>110</v>
      </c>
      <c r="Q481" s="1" t="s">
        <v>31</v>
      </c>
      <c r="R481" s="1" t="s">
        <v>22</v>
      </c>
      <c r="S481">
        <v>381</v>
      </c>
      <c r="T481" s="1" t="s">
        <v>1334</v>
      </c>
    </row>
    <row r="482" spans="1:20" x14ac:dyDescent="0.3">
      <c r="A482" s="1" t="s">
        <v>1335</v>
      </c>
      <c r="B482" s="1" t="s">
        <v>1336</v>
      </c>
      <c r="C482">
        <v>75</v>
      </c>
      <c r="D482" s="1" t="s">
        <v>12</v>
      </c>
      <c r="E482" s="1" t="s">
        <v>38</v>
      </c>
      <c r="F482" s="1" t="s">
        <v>114</v>
      </c>
      <c r="G482" s="1" t="s">
        <v>158</v>
      </c>
      <c r="H482" s="1" t="s">
        <v>186</v>
      </c>
      <c r="I482">
        <v>1122</v>
      </c>
      <c r="J482">
        <v>868</v>
      </c>
      <c r="K482">
        <v>4326</v>
      </c>
      <c r="L482">
        <v>1381</v>
      </c>
      <c r="M482">
        <v>7697</v>
      </c>
      <c r="N482" s="2">
        <v>45832</v>
      </c>
      <c r="O482" s="2">
        <v>45881</v>
      </c>
      <c r="P482" s="1" t="s">
        <v>25</v>
      </c>
      <c r="Q482" s="1" t="s">
        <v>21</v>
      </c>
      <c r="R482" s="1" t="s">
        <v>17</v>
      </c>
      <c r="S482">
        <v>363</v>
      </c>
      <c r="T482" s="1" t="s">
        <v>1337</v>
      </c>
    </row>
    <row r="483" spans="1:20" x14ac:dyDescent="0.3">
      <c r="A483" s="1" t="s">
        <v>1338</v>
      </c>
      <c r="B483" s="1" t="s">
        <v>1339</v>
      </c>
      <c r="C483">
        <v>70</v>
      </c>
      <c r="D483" s="1" t="s">
        <v>23</v>
      </c>
      <c r="E483" s="1" t="s">
        <v>15</v>
      </c>
      <c r="F483" s="1" t="s">
        <v>124</v>
      </c>
      <c r="G483" s="1" t="s">
        <v>158</v>
      </c>
      <c r="H483" s="1" t="s">
        <v>86</v>
      </c>
      <c r="I483">
        <v>674</v>
      </c>
      <c r="J483">
        <v>2593</v>
      </c>
      <c r="K483">
        <v>6593</v>
      </c>
      <c r="L483">
        <v>2468</v>
      </c>
      <c r="M483">
        <v>12328</v>
      </c>
      <c r="N483" s="2">
        <v>45736</v>
      </c>
      <c r="O483" s="2">
        <v>45815</v>
      </c>
      <c r="P483" s="1" t="s">
        <v>93</v>
      </c>
      <c r="Q483" s="1" t="s">
        <v>21</v>
      </c>
      <c r="R483" s="1" t="s">
        <v>22</v>
      </c>
      <c r="S483">
        <v>127</v>
      </c>
      <c r="T483" s="1" t="s">
        <v>1340</v>
      </c>
    </row>
    <row r="484" spans="1:20" x14ac:dyDescent="0.3">
      <c r="A484" s="1" t="s">
        <v>1341</v>
      </c>
      <c r="B484" s="1" t="s">
        <v>661</v>
      </c>
      <c r="C484">
        <v>50</v>
      </c>
      <c r="D484" s="1" t="s">
        <v>23</v>
      </c>
      <c r="E484" s="1" t="s">
        <v>40</v>
      </c>
      <c r="F484" s="1" t="s">
        <v>97</v>
      </c>
      <c r="G484" s="1" t="s">
        <v>176</v>
      </c>
      <c r="H484" s="1" t="s">
        <v>86</v>
      </c>
      <c r="I484">
        <v>1145</v>
      </c>
      <c r="J484">
        <v>3155</v>
      </c>
      <c r="K484">
        <v>2412</v>
      </c>
      <c r="L484">
        <v>7152</v>
      </c>
      <c r="M484">
        <v>13864</v>
      </c>
      <c r="N484" s="2">
        <v>45719</v>
      </c>
      <c r="O484" s="2">
        <v>45684</v>
      </c>
      <c r="P484" s="1" t="s">
        <v>19</v>
      </c>
      <c r="Q484" s="1" t="s">
        <v>31</v>
      </c>
      <c r="R484" s="1" t="s">
        <v>17</v>
      </c>
      <c r="S484">
        <v>620</v>
      </c>
      <c r="T484" s="1" t="s">
        <v>1342</v>
      </c>
    </row>
    <row r="485" spans="1:20" x14ac:dyDescent="0.3">
      <c r="A485" s="1" t="s">
        <v>1343</v>
      </c>
      <c r="B485" s="1" t="s">
        <v>180</v>
      </c>
      <c r="C485">
        <v>15</v>
      </c>
      <c r="D485" s="1" t="s">
        <v>12</v>
      </c>
      <c r="E485" s="1" t="s">
        <v>33</v>
      </c>
      <c r="F485" s="1" t="s">
        <v>103</v>
      </c>
      <c r="G485" s="1" t="s">
        <v>91</v>
      </c>
      <c r="H485" s="1" t="s">
        <v>186</v>
      </c>
      <c r="I485">
        <v>1251</v>
      </c>
      <c r="J485">
        <v>3834</v>
      </c>
      <c r="K485">
        <v>836</v>
      </c>
      <c r="L485">
        <v>8932</v>
      </c>
      <c r="M485">
        <v>14853</v>
      </c>
      <c r="N485" s="2">
        <v>45672</v>
      </c>
      <c r="O485" s="2">
        <v>45866</v>
      </c>
      <c r="P485" s="1" t="s">
        <v>19</v>
      </c>
      <c r="Q485" s="1" t="s">
        <v>16</v>
      </c>
      <c r="R485" s="1" t="s">
        <v>22</v>
      </c>
      <c r="S485">
        <v>881</v>
      </c>
      <c r="T485" s="1" t="s">
        <v>1344</v>
      </c>
    </row>
    <row r="486" spans="1:20" x14ac:dyDescent="0.3">
      <c r="A486" s="1" t="s">
        <v>1345</v>
      </c>
      <c r="B486" s="1" t="s">
        <v>1043</v>
      </c>
      <c r="C486">
        <v>73</v>
      </c>
      <c r="D486" s="1" t="s">
        <v>12</v>
      </c>
      <c r="E486" s="1" t="s">
        <v>40</v>
      </c>
      <c r="F486" s="1" t="s">
        <v>135</v>
      </c>
      <c r="G486" s="1" t="s">
        <v>98</v>
      </c>
      <c r="H486" s="1" t="s">
        <v>37</v>
      </c>
      <c r="I486">
        <v>1324</v>
      </c>
      <c r="J486">
        <v>2166</v>
      </c>
      <c r="K486">
        <v>6713</v>
      </c>
      <c r="L486">
        <v>3332</v>
      </c>
      <c r="M486">
        <v>13535</v>
      </c>
      <c r="N486" s="2">
        <v>45849</v>
      </c>
      <c r="O486" s="2">
        <v>45934</v>
      </c>
      <c r="P486" s="1" t="s">
        <v>25</v>
      </c>
      <c r="Q486" s="1" t="s">
        <v>9</v>
      </c>
      <c r="R486" s="1" t="s">
        <v>87</v>
      </c>
      <c r="S486">
        <v>562</v>
      </c>
      <c r="T486" s="1" t="s">
        <v>1346</v>
      </c>
    </row>
    <row r="487" spans="1:20" x14ac:dyDescent="0.3">
      <c r="A487" s="1" t="s">
        <v>1347</v>
      </c>
      <c r="B487" s="1" t="s">
        <v>1121</v>
      </c>
      <c r="C487">
        <v>80</v>
      </c>
      <c r="D487" s="1" t="s">
        <v>12</v>
      </c>
      <c r="E487" s="1" t="s">
        <v>20</v>
      </c>
      <c r="F487" s="1" t="s">
        <v>109</v>
      </c>
      <c r="G487" s="1" t="s">
        <v>176</v>
      </c>
      <c r="H487" s="1" t="s">
        <v>18</v>
      </c>
      <c r="I487">
        <v>423</v>
      </c>
      <c r="J487">
        <v>4450</v>
      </c>
      <c r="K487">
        <v>2538</v>
      </c>
      <c r="L487">
        <v>10795</v>
      </c>
      <c r="M487">
        <v>18206</v>
      </c>
      <c r="N487" s="2">
        <v>45786</v>
      </c>
      <c r="O487" s="2">
        <v>46006</v>
      </c>
      <c r="P487" s="1" t="s">
        <v>93</v>
      </c>
      <c r="Q487" s="1" t="s">
        <v>31</v>
      </c>
      <c r="R487" s="1" t="s">
        <v>87</v>
      </c>
      <c r="S487">
        <v>960</v>
      </c>
      <c r="T487" s="1" t="s">
        <v>1348</v>
      </c>
    </row>
    <row r="488" spans="1:20" x14ac:dyDescent="0.3">
      <c r="A488" s="1" t="s">
        <v>1349</v>
      </c>
      <c r="B488" s="1" t="s">
        <v>769</v>
      </c>
      <c r="C488">
        <v>21</v>
      </c>
      <c r="D488" s="1" t="s">
        <v>23</v>
      </c>
      <c r="E488" s="1" t="s">
        <v>40</v>
      </c>
      <c r="F488" s="1" t="s">
        <v>124</v>
      </c>
      <c r="G488" s="1" t="s">
        <v>98</v>
      </c>
      <c r="H488" s="1" t="s">
        <v>37</v>
      </c>
      <c r="I488">
        <v>1109</v>
      </c>
      <c r="J488">
        <v>1507</v>
      </c>
      <c r="K488">
        <v>7103</v>
      </c>
      <c r="L488">
        <v>3288</v>
      </c>
      <c r="M488">
        <v>13007</v>
      </c>
      <c r="N488" s="2">
        <v>45942</v>
      </c>
      <c r="O488" s="2">
        <v>45801</v>
      </c>
      <c r="P488" s="1" t="s">
        <v>93</v>
      </c>
      <c r="Q488" s="1" t="s">
        <v>21</v>
      </c>
      <c r="R488" s="1" t="s">
        <v>87</v>
      </c>
      <c r="S488">
        <v>450</v>
      </c>
      <c r="T488" s="1" t="s">
        <v>1350</v>
      </c>
    </row>
    <row r="489" spans="1:20" x14ac:dyDescent="0.3">
      <c r="A489" s="1" t="s">
        <v>1351</v>
      </c>
      <c r="B489" s="1" t="s">
        <v>868</v>
      </c>
      <c r="C489">
        <v>35</v>
      </c>
      <c r="D489" s="1" t="s">
        <v>23</v>
      </c>
      <c r="E489" s="1" t="s">
        <v>33</v>
      </c>
      <c r="F489" s="1" t="s">
        <v>97</v>
      </c>
      <c r="G489" s="1" t="s">
        <v>98</v>
      </c>
      <c r="H489" s="1" t="s">
        <v>186</v>
      </c>
      <c r="I489">
        <v>731</v>
      </c>
      <c r="J489">
        <v>4266</v>
      </c>
      <c r="K489">
        <v>5211</v>
      </c>
      <c r="L489">
        <v>6381</v>
      </c>
      <c r="M489">
        <v>16589</v>
      </c>
      <c r="N489" s="2">
        <v>45666</v>
      </c>
      <c r="O489" s="2">
        <v>46012</v>
      </c>
      <c r="P489" s="1" t="s">
        <v>25</v>
      </c>
      <c r="Q489" s="1" t="s">
        <v>9</v>
      </c>
      <c r="R489" s="1" t="s">
        <v>22</v>
      </c>
      <c r="S489">
        <v>109</v>
      </c>
      <c r="T489" s="1" t="s">
        <v>1352</v>
      </c>
    </row>
    <row r="490" spans="1:20" x14ac:dyDescent="0.3">
      <c r="A490" s="1" t="s">
        <v>1353</v>
      </c>
      <c r="B490" s="1" t="s">
        <v>1260</v>
      </c>
      <c r="C490">
        <v>72</v>
      </c>
      <c r="D490" s="1" t="s">
        <v>12</v>
      </c>
      <c r="E490" s="1" t="s">
        <v>20</v>
      </c>
      <c r="F490" s="1" t="s">
        <v>120</v>
      </c>
      <c r="G490" s="1" t="s">
        <v>176</v>
      </c>
      <c r="H490" s="1" t="s">
        <v>37</v>
      </c>
      <c r="I490">
        <v>458</v>
      </c>
      <c r="J490">
        <v>4912</v>
      </c>
      <c r="K490">
        <v>553</v>
      </c>
      <c r="L490">
        <v>14632</v>
      </c>
      <c r="M490">
        <v>20555</v>
      </c>
      <c r="N490" s="2">
        <v>46001</v>
      </c>
      <c r="O490" s="2">
        <v>45885</v>
      </c>
      <c r="P490" s="1" t="s">
        <v>35</v>
      </c>
      <c r="Q490" s="1" t="s">
        <v>9</v>
      </c>
      <c r="R490" s="1" t="s">
        <v>87</v>
      </c>
      <c r="S490">
        <v>466</v>
      </c>
      <c r="T490" s="1" t="s">
        <v>1354</v>
      </c>
    </row>
    <row r="491" spans="1:20" x14ac:dyDescent="0.3">
      <c r="A491" s="1" t="s">
        <v>1355</v>
      </c>
      <c r="B491" s="1" t="s">
        <v>1356</v>
      </c>
      <c r="C491">
        <v>16</v>
      </c>
      <c r="D491" s="1" t="s">
        <v>12</v>
      </c>
      <c r="E491" s="1" t="s">
        <v>40</v>
      </c>
      <c r="F491" s="1" t="s">
        <v>97</v>
      </c>
      <c r="G491" s="1" t="s">
        <v>158</v>
      </c>
      <c r="H491" s="1" t="s">
        <v>115</v>
      </c>
      <c r="I491">
        <v>1210</v>
      </c>
      <c r="J491">
        <v>576</v>
      </c>
      <c r="K491">
        <v>2114</v>
      </c>
      <c r="L491">
        <v>13175</v>
      </c>
      <c r="M491">
        <v>17075</v>
      </c>
      <c r="N491" s="2">
        <v>45668</v>
      </c>
      <c r="O491" s="2">
        <v>45801</v>
      </c>
      <c r="P491" s="1" t="s">
        <v>177</v>
      </c>
      <c r="Q491" s="1" t="s">
        <v>21</v>
      </c>
      <c r="R491" s="1" t="s">
        <v>87</v>
      </c>
      <c r="S491">
        <v>326</v>
      </c>
      <c r="T491" s="1" t="s">
        <v>1357</v>
      </c>
    </row>
    <row r="492" spans="1:20" x14ac:dyDescent="0.3">
      <c r="A492" s="1" t="s">
        <v>1358</v>
      </c>
      <c r="B492" s="1" t="s">
        <v>602</v>
      </c>
      <c r="C492">
        <v>5</v>
      </c>
      <c r="D492" s="1" t="s">
        <v>12</v>
      </c>
      <c r="E492" s="1" t="s">
        <v>27</v>
      </c>
      <c r="F492" s="1" t="s">
        <v>135</v>
      </c>
      <c r="G492" s="1" t="s">
        <v>85</v>
      </c>
      <c r="H492" s="1" t="s">
        <v>115</v>
      </c>
      <c r="I492">
        <v>314</v>
      </c>
      <c r="J492">
        <v>2106</v>
      </c>
      <c r="K492">
        <v>7026</v>
      </c>
      <c r="L492">
        <v>11460</v>
      </c>
      <c r="M492">
        <v>20906</v>
      </c>
      <c r="N492" s="2">
        <v>45860</v>
      </c>
      <c r="O492" s="2">
        <v>45714</v>
      </c>
      <c r="P492" s="1" t="s">
        <v>14</v>
      </c>
      <c r="Q492" s="1" t="s">
        <v>31</v>
      </c>
      <c r="R492" s="1" t="s">
        <v>87</v>
      </c>
      <c r="S492">
        <v>856</v>
      </c>
      <c r="T492" s="1" t="s">
        <v>1359</v>
      </c>
    </row>
    <row r="493" spans="1:20" x14ac:dyDescent="0.3">
      <c r="A493" s="1" t="s">
        <v>1360</v>
      </c>
      <c r="B493" s="1" t="s">
        <v>924</v>
      </c>
      <c r="C493">
        <v>23</v>
      </c>
      <c r="D493" s="1" t="s">
        <v>23</v>
      </c>
      <c r="E493" s="1" t="s">
        <v>40</v>
      </c>
      <c r="F493" s="1" t="s">
        <v>109</v>
      </c>
      <c r="G493" s="1" t="s">
        <v>176</v>
      </c>
      <c r="H493" s="1" t="s">
        <v>37</v>
      </c>
      <c r="I493">
        <v>560</v>
      </c>
      <c r="J493">
        <v>2626</v>
      </c>
      <c r="K493">
        <v>7947</v>
      </c>
      <c r="L493">
        <v>10337</v>
      </c>
      <c r="M493">
        <v>21470</v>
      </c>
      <c r="N493" s="2">
        <v>45774</v>
      </c>
      <c r="O493" s="2">
        <v>45925</v>
      </c>
      <c r="P493" s="1" t="s">
        <v>14</v>
      </c>
      <c r="Q493" s="1" t="s">
        <v>16</v>
      </c>
      <c r="R493" s="1" t="s">
        <v>87</v>
      </c>
      <c r="S493">
        <v>794</v>
      </c>
      <c r="T493" s="1" t="s">
        <v>1361</v>
      </c>
    </row>
    <row r="494" spans="1:20" x14ac:dyDescent="0.3">
      <c r="A494" s="1" t="s">
        <v>1362</v>
      </c>
      <c r="B494" s="1" t="s">
        <v>1025</v>
      </c>
      <c r="C494">
        <v>72</v>
      </c>
      <c r="D494" s="1" t="s">
        <v>12</v>
      </c>
      <c r="E494" s="1" t="s">
        <v>27</v>
      </c>
      <c r="F494" s="1" t="s">
        <v>103</v>
      </c>
      <c r="G494" s="1" t="s">
        <v>125</v>
      </c>
      <c r="H494" s="1" t="s">
        <v>199</v>
      </c>
      <c r="I494">
        <v>406</v>
      </c>
      <c r="J494">
        <v>3146</v>
      </c>
      <c r="K494">
        <v>3843</v>
      </c>
      <c r="L494">
        <v>14833</v>
      </c>
      <c r="M494">
        <v>22228</v>
      </c>
      <c r="N494" s="2">
        <v>45866</v>
      </c>
      <c r="O494" s="2">
        <v>45798</v>
      </c>
      <c r="P494" s="1" t="s">
        <v>35</v>
      </c>
      <c r="Q494" s="1" t="s">
        <v>21</v>
      </c>
      <c r="R494" s="1" t="s">
        <v>87</v>
      </c>
      <c r="S494">
        <v>877</v>
      </c>
      <c r="T494" s="1" t="s">
        <v>1363</v>
      </c>
    </row>
    <row r="495" spans="1:20" x14ac:dyDescent="0.3">
      <c r="A495" s="1" t="s">
        <v>1364</v>
      </c>
      <c r="B495" s="1" t="s">
        <v>599</v>
      </c>
      <c r="C495">
        <v>36</v>
      </c>
      <c r="D495" s="1" t="s">
        <v>12</v>
      </c>
      <c r="E495" s="1" t="s">
        <v>40</v>
      </c>
      <c r="F495" s="1" t="s">
        <v>135</v>
      </c>
      <c r="G495" s="1" t="s">
        <v>104</v>
      </c>
      <c r="H495" s="1" t="s">
        <v>186</v>
      </c>
      <c r="I495">
        <v>310</v>
      </c>
      <c r="J495">
        <v>3710</v>
      </c>
      <c r="K495">
        <v>1894</v>
      </c>
      <c r="L495">
        <v>6483</v>
      </c>
      <c r="M495">
        <v>12397</v>
      </c>
      <c r="N495" s="2">
        <v>45699</v>
      </c>
      <c r="O495" s="2">
        <v>45950</v>
      </c>
      <c r="P495" s="1" t="s">
        <v>34</v>
      </c>
      <c r="Q495" s="1" t="s">
        <v>9</v>
      </c>
      <c r="R495" s="1" t="s">
        <v>22</v>
      </c>
      <c r="S495">
        <v>355</v>
      </c>
      <c r="T495" s="1" t="s">
        <v>1365</v>
      </c>
    </row>
    <row r="496" spans="1:20" x14ac:dyDescent="0.3">
      <c r="A496" s="1" t="s">
        <v>1366</v>
      </c>
      <c r="B496" s="1" t="s">
        <v>713</v>
      </c>
      <c r="C496">
        <v>40</v>
      </c>
      <c r="D496" s="1" t="s">
        <v>23</v>
      </c>
      <c r="E496" s="1" t="s">
        <v>36</v>
      </c>
      <c r="F496" s="1" t="s">
        <v>114</v>
      </c>
      <c r="G496" s="1" t="s">
        <v>85</v>
      </c>
      <c r="H496" s="1" t="s">
        <v>18</v>
      </c>
      <c r="I496">
        <v>1282</v>
      </c>
      <c r="J496">
        <v>4038</v>
      </c>
      <c r="K496">
        <v>6919</v>
      </c>
      <c r="L496">
        <v>1393</v>
      </c>
      <c r="M496">
        <v>13632</v>
      </c>
      <c r="N496" s="2">
        <v>45961</v>
      </c>
      <c r="O496" s="2">
        <v>45978</v>
      </c>
      <c r="P496" s="1" t="s">
        <v>177</v>
      </c>
      <c r="Q496" s="1" t="s">
        <v>16</v>
      </c>
      <c r="R496" s="1" t="s">
        <v>17</v>
      </c>
      <c r="S496">
        <v>344</v>
      </c>
      <c r="T496" s="1" t="s">
        <v>1367</v>
      </c>
    </row>
    <row r="497" spans="1:20" x14ac:dyDescent="0.3">
      <c r="A497" s="1" t="s">
        <v>1368</v>
      </c>
      <c r="B497" s="1" t="s">
        <v>113</v>
      </c>
      <c r="C497">
        <v>67</v>
      </c>
      <c r="D497" s="1" t="s">
        <v>23</v>
      </c>
      <c r="E497" s="1" t="s">
        <v>38</v>
      </c>
      <c r="F497" s="1" t="s">
        <v>114</v>
      </c>
      <c r="G497" s="1" t="s">
        <v>91</v>
      </c>
      <c r="H497" s="1" t="s">
        <v>92</v>
      </c>
      <c r="I497">
        <v>495</v>
      </c>
      <c r="J497">
        <v>4157</v>
      </c>
      <c r="K497">
        <v>5042</v>
      </c>
      <c r="L497">
        <v>3045</v>
      </c>
      <c r="M497">
        <v>12739</v>
      </c>
      <c r="N497" s="2">
        <v>45701</v>
      </c>
      <c r="O497" s="2">
        <v>45689</v>
      </c>
      <c r="P497" s="1" t="s">
        <v>34</v>
      </c>
      <c r="Q497" s="1" t="s">
        <v>16</v>
      </c>
      <c r="R497" s="1" t="s">
        <v>22</v>
      </c>
      <c r="S497">
        <v>163</v>
      </c>
      <c r="T497" s="1" t="s">
        <v>1369</v>
      </c>
    </row>
    <row r="498" spans="1:20" x14ac:dyDescent="0.3">
      <c r="A498" s="1" t="s">
        <v>1370</v>
      </c>
      <c r="B498" s="1" t="s">
        <v>69</v>
      </c>
      <c r="C498">
        <v>39</v>
      </c>
      <c r="D498" s="1" t="s">
        <v>12</v>
      </c>
      <c r="E498" s="1" t="s">
        <v>38</v>
      </c>
      <c r="F498" s="1" t="s">
        <v>114</v>
      </c>
      <c r="G498" s="1" t="s">
        <v>85</v>
      </c>
      <c r="H498" s="1" t="s">
        <v>13</v>
      </c>
      <c r="I498">
        <v>414</v>
      </c>
      <c r="J498">
        <v>927</v>
      </c>
      <c r="K498">
        <v>2715</v>
      </c>
      <c r="L498">
        <v>14925</v>
      </c>
      <c r="M498">
        <v>18981</v>
      </c>
      <c r="N498" s="2">
        <v>45853</v>
      </c>
      <c r="O498" s="2">
        <v>45863</v>
      </c>
      <c r="P498" s="1" t="s">
        <v>35</v>
      </c>
      <c r="Q498" s="1" t="s">
        <v>16</v>
      </c>
      <c r="R498" s="1" t="s">
        <v>17</v>
      </c>
      <c r="S498">
        <v>493</v>
      </c>
      <c r="T498" s="1" t="s">
        <v>1371</v>
      </c>
    </row>
    <row r="499" spans="1:20" x14ac:dyDescent="0.3">
      <c r="A499" s="1" t="s">
        <v>1372</v>
      </c>
      <c r="B499" s="1" t="s">
        <v>173</v>
      </c>
      <c r="C499">
        <v>80</v>
      </c>
      <c r="D499" s="1" t="s">
        <v>23</v>
      </c>
      <c r="E499" s="1" t="s">
        <v>33</v>
      </c>
      <c r="F499" s="1" t="s">
        <v>97</v>
      </c>
      <c r="G499" s="1" t="s">
        <v>98</v>
      </c>
      <c r="H499" s="1" t="s">
        <v>18</v>
      </c>
      <c r="I499">
        <v>1229</v>
      </c>
      <c r="J499">
        <v>4737</v>
      </c>
      <c r="K499">
        <v>2988</v>
      </c>
      <c r="L499">
        <v>10630</v>
      </c>
      <c r="M499">
        <v>19584</v>
      </c>
      <c r="N499" s="2">
        <v>45756</v>
      </c>
      <c r="O499" s="2">
        <v>45713</v>
      </c>
      <c r="P499" s="1" t="s">
        <v>35</v>
      </c>
      <c r="Q499" s="1" t="s">
        <v>16</v>
      </c>
      <c r="R499" s="1" t="s">
        <v>87</v>
      </c>
      <c r="S499">
        <v>908</v>
      </c>
      <c r="T499" s="1" t="s">
        <v>1373</v>
      </c>
    </row>
    <row r="500" spans="1:20" x14ac:dyDescent="0.3">
      <c r="A500" s="1" t="s">
        <v>1374</v>
      </c>
      <c r="B500" s="1" t="s">
        <v>469</v>
      </c>
      <c r="C500">
        <v>17</v>
      </c>
      <c r="D500" s="1" t="s">
        <v>12</v>
      </c>
      <c r="E500" s="1" t="s">
        <v>15</v>
      </c>
      <c r="F500" s="1" t="s">
        <v>97</v>
      </c>
      <c r="G500" s="1" t="s">
        <v>91</v>
      </c>
      <c r="H500" s="1" t="s">
        <v>199</v>
      </c>
      <c r="I500">
        <v>1285</v>
      </c>
      <c r="J500">
        <v>4142</v>
      </c>
      <c r="K500">
        <v>1823</v>
      </c>
      <c r="L500">
        <v>4983</v>
      </c>
      <c r="M500">
        <v>12233</v>
      </c>
      <c r="N500" s="2">
        <v>45728</v>
      </c>
      <c r="O500" s="2">
        <v>45680</v>
      </c>
      <c r="P500" s="1" t="s">
        <v>34</v>
      </c>
      <c r="Q500" s="1" t="s">
        <v>9</v>
      </c>
      <c r="R500" s="1" t="s">
        <v>87</v>
      </c>
      <c r="S500">
        <v>767</v>
      </c>
      <c r="T500" s="1" t="s">
        <v>1375</v>
      </c>
    </row>
    <row r="501" spans="1:20" x14ac:dyDescent="0.3">
      <c r="A501" s="1" t="s">
        <v>1376</v>
      </c>
      <c r="B501" s="1" t="s">
        <v>1377</v>
      </c>
      <c r="C501">
        <v>75</v>
      </c>
      <c r="D501" s="1" t="s">
        <v>23</v>
      </c>
      <c r="E501" s="1" t="s">
        <v>15</v>
      </c>
      <c r="F501" s="1" t="s">
        <v>109</v>
      </c>
      <c r="G501" s="1" t="s">
        <v>158</v>
      </c>
      <c r="H501" s="1" t="s">
        <v>215</v>
      </c>
      <c r="I501">
        <v>932</v>
      </c>
      <c r="J501">
        <v>3309</v>
      </c>
      <c r="K501">
        <v>2684</v>
      </c>
      <c r="L501">
        <v>7042</v>
      </c>
      <c r="M501">
        <v>13967</v>
      </c>
      <c r="N501" s="2">
        <v>45662</v>
      </c>
      <c r="O501" s="2">
        <v>45923</v>
      </c>
      <c r="P501" s="1" t="s">
        <v>136</v>
      </c>
      <c r="Q501" s="1" t="s">
        <v>31</v>
      </c>
      <c r="R501" s="1" t="s">
        <v>87</v>
      </c>
      <c r="S501">
        <v>938</v>
      </c>
      <c r="T501" s="1" t="s">
        <v>1378</v>
      </c>
    </row>
    <row r="502" spans="1:20" x14ac:dyDescent="0.3">
      <c r="A502" s="1" t="s">
        <v>1379</v>
      </c>
      <c r="B502" s="1" t="s">
        <v>1380</v>
      </c>
      <c r="C502">
        <v>55</v>
      </c>
      <c r="D502" s="1" t="s">
        <v>12</v>
      </c>
      <c r="E502" s="1" t="s">
        <v>20</v>
      </c>
      <c r="F502" s="1" t="s">
        <v>84</v>
      </c>
      <c r="G502" s="1" t="s">
        <v>176</v>
      </c>
      <c r="H502" s="1" t="s">
        <v>115</v>
      </c>
      <c r="I502">
        <v>712</v>
      </c>
      <c r="J502">
        <v>1060</v>
      </c>
      <c r="K502">
        <v>3097</v>
      </c>
      <c r="L502">
        <v>4102</v>
      </c>
      <c r="M502">
        <v>8971</v>
      </c>
      <c r="N502" s="2">
        <v>45999</v>
      </c>
      <c r="O502" s="2">
        <v>45901</v>
      </c>
      <c r="P502" s="1" t="s">
        <v>116</v>
      </c>
      <c r="Q502" s="1" t="s">
        <v>21</v>
      </c>
      <c r="R502" s="1" t="s">
        <v>87</v>
      </c>
      <c r="S502">
        <v>406</v>
      </c>
      <c r="T502" s="1" t="s">
        <v>1381</v>
      </c>
    </row>
    <row r="503" spans="1:20" x14ac:dyDescent="0.3">
      <c r="A503" s="1" t="s">
        <v>1382</v>
      </c>
      <c r="B503" s="1" t="s">
        <v>50</v>
      </c>
      <c r="C503">
        <v>14</v>
      </c>
      <c r="D503" s="1" t="s">
        <v>12</v>
      </c>
      <c r="E503" s="1" t="s">
        <v>40</v>
      </c>
      <c r="F503" s="1" t="s">
        <v>103</v>
      </c>
      <c r="G503" s="1" t="s">
        <v>85</v>
      </c>
      <c r="H503" s="1" t="s">
        <v>215</v>
      </c>
      <c r="I503">
        <v>749</v>
      </c>
      <c r="J503">
        <v>530</v>
      </c>
      <c r="K503">
        <v>5532</v>
      </c>
      <c r="L503">
        <v>4654</v>
      </c>
      <c r="M503">
        <v>11465</v>
      </c>
      <c r="N503" s="2">
        <v>46012</v>
      </c>
      <c r="O503" s="2">
        <v>45775</v>
      </c>
      <c r="P503" s="1" t="s">
        <v>116</v>
      </c>
      <c r="Q503" s="1" t="s">
        <v>9</v>
      </c>
      <c r="R503" s="1" t="s">
        <v>87</v>
      </c>
      <c r="S503">
        <v>886</v>
      </c>
      <c r="T503" s="1" t="s">
        <v>1383</v>
      </c>
    </row>
    <row r="504" spans="1:20" x14ac:dyDescent="0.3">
      <c r="A504" s="1" t="s">
        <v>1384</v>
      </c>
      <c r="B504" s="1" t="s">
        <v>68</v>
      </c>
      <c r="C504">
        <v>27</v>
      </c>
      <c r="D504" s="1" t="s">
        <v>12</v>
      </c>
      <c r="E504" s="1" t="s">
        <v>15</v>
      </c>
      <c r="F504" s="1" t="s">
        <v>109</v>
      </c>
      <c r="G504" s="1" t="s">
        <v>91</v>
      </c>
      <c r="H504" s="1" t="s">
        <v>18</v>
      </c>
      <c r="I504">
        <v>1043</v>
      </c>
      <c r="J504">
        <v>581</v>
      </c>
      <c r="K504">
        <v>904</v>
      </c>
      <c r="L504">
        <v>6863</v>
      </c>
      <c r="M504">
        <v>9391</v>
      </c>
      <c r="N504" s="2">
        <v>45673</v>
      </c>
      <c r="O504" s="2">
        <v>45942</v>
      </c>
      <c r="P504" s="1" t="s">
        <v>35</v>
      </c>
      <c r="Q504" s="1" t="s">
        <v>9</v>
      </c>
      <c r="R504" s="1" t="s">
        <v>22</v>
      </c>
      <c r="S504">
        <v>746</v>
      </c>
      <c r="T504" s="1" t="s">
        <v>1385</v>
      </c>
    </row>
    <row r="505" spans="1:20" x14ac:dyDescent="0.3">
      <c r="A505" s="1" t="s">
        <v>1386</v>
      </c>
      <c r="B505" s="1" t="s">
        <v>1387</v>
      </c>
      <c r="C505">
        <v>4</v>
      </c>
      <c r="D505" s="1" t="s">
        <v>23</v>
      </c>
      <c r="E505" s="1" t="s">
        <v>40</v>
      </c>
      <c r="F505" s="1" t="s">
        <v>84</v>
      </c>
      <c r="G505" s="1" t="s">
        <v>85</v>
      </c>
      <c r="H505" s="1" t="s">
        <v>26</v>
      </c>
      <c r="I505">
        <v>656</v>
      </c>
      <c r="J505">
        <v>2293</v>
      </c>
      <c r="K505">
        <v>7553</v>
      </c>
      <c r="L505">
        <v>5292</v>
      </c>
      <c r="M505">
        <v>15794</v>
      </c>
      <c r="N505" s="2">
        <v>45747</v>
      </c>
      <c r="O505" s="2">
        <v>45831</v>
      </c>
      <c r="P505" s="1" t="s">
        <v>110</v>
      </c>
      <c r="Q505" s="1" t="s">
        <v>31</v>
      </c>
      <c r="R505" s="1" t="s">
        <v>22</v>
      </c>
      <c r="S505">
        <v>280</v>
      </c>
      <c r="T505" s="1" t="s">
        <v>1388</v>
      </c>
    </row>
    <row r="506" spans="1:20" x14ac:dyDescent="0.3">
      <c r="A506" s="1" t="s">
        <v>1389</v>
      </c>
      <c r="B506" s="1" t="s">
        <v>523</v>
      </c>
      <c r="C506">
        <v>3</v>
      </c>
      <c r="D506" s="1" t="s">
        <v>23</v>
      </c>
      <c r="E506" s="1" t="s">
        <v>15</v>
      </c>
      <c r="F506" s="1" t="s">
        <v>120</v>
      </c>
      <c r="G506" s="1" t="s">
        <v>98</v>
      </c>
      <c r="H506" s="1" t="s">
        <v>13</v>
      </c>
      <c r="I506">
        <v>993</v>
      </c>
      <c r="J506">
        <v>2222</v>
      </c>
      <c r="K506">
        <v>2799</v>
      </c>
      <c r="L506">
        <v>8474</v>
      </c>
      <c r="M506">
        <v>14488</v>
      </c>
      <c r="N506" s="2">
        <v>45780</v>
      </c>
      <c r="O506" s="2">
        <v>45847</v>
      </c>
      <c r="P506" s="1" t="s">
        <v>177</v>
      </c>
      <c r="Q506" s="1" t="s">
        <v>9</v>
      </c>
      <c r="R506" s="1" t="s">
        <v>87</v>
      </c>
      <c r="S506">
        <v>166</v>
      </c>
      <c r="T506" s="1" t="s">
        <v>1390</v>
      </c>
    </row>
    <row r="507" spans="1:20" x14ac:dyDescent="0.3">
      <c r="A507" s="1" t="s">
        <v>1391</v>
      </c>
      <c r="B507" s="1" t="s">
        <v>761</v>
      </c>
      <c r="C507">
        <v>25</v>
      </c>
      <c r="D507" s="1" t="s">
        <v>23</v>
      </c>
      <c r="E507" s="1" t="s">
        <v>40</v>
      </c>
      <c r="F507" s="1" t="s">
        <v>120</v>
      </c>
      <c r="G507" s="1" t="s">
        <v>176</v>
      </c>
      <c r="H507" s="1" t="s">
        <v>99</v>
      </c>
      <c r="I507">
        <v>951</v>
      </c>
      <c r="J507">
        <v>4018</v>
      </c>
      <c r="K507">
        <v>5511</v>
      </c>
      <c r="L507">
        <v>5006</v>
      </c>
      <c r="M507">
        <v>15486</v>
      </c>
      <c r="N507" s="2">
        <v>45681</v>
      </c>
      <c r="O507" s="2">
        <v>45973</v>
      </c>
      <c r="P507" s="1" t="s">
        <v>136</v>
      </c>
      <c r="Q507" s="1" t="s">
        <v>21</v>
      </c>
      <c r="R507" s="1" t="s">
        <v>22</v>
      </c>
      <c r="S507">
        <v>435</v>
      </c>
      <c r="T507" s="1" t="s">
        <v>1392</v>
      </c>
    </row>
    <row r="508" spans="1:20" x14ac:dyDescent="0.3">
      <c r="A508" s="1" t="s">
        <v>1393</v>
      </c>
      <c r="B508" s="1" t="s">
        <v>1394</v>
      </c>
      <c r="C508">
        <v>17</v>
      </c>
      <c r="D508" s="1" t="s">
        <v>12</v>
      </c>
      <c r="E508" s="1" t="s">
        <v>20</v>
      </c>
      <c r="F508" s="1" t="s">
        <v>84</v>
      </c>
      <c r="G508" s="1" t="s">
        <v>125</v>
      </c>
      <c r="H508" s="1" t="s">
        <v>37</v>
      </c>
      <c r="I508">
        <v>1263</v>
      </c>
      <c r="J508">
        <v>1031</v>
      </c>
      <c r="K508">
        <v>1671</v>
      </c>
      <c r="L508">
        <v>9333</v>
      </c>
      <c r="M508">
        <v>13298</v>
      </c>
      <c r="N508" s="2">
        <v>45856</v>
      </c>
      <c r="O508" s="2">
        <v>45988</v>
      </c>
      <c r="P508" s="1" t="s">
        <v>110</v>
      </c>
      <c r="Q508" s="1" t="s">
        <v>9</v>
      </c>
      <c r="R508" s="1" t="s">
        <v>22</v>
      </c>
      <c r="S508">
        <v>429</v>
      </c>
      <c r="T508" s="1" t="s">
        <v>1395</v>
      </c>
    </row>
    <row r="509" spans="1:20" x14ac:dyDescent="0.3">
      <c r="A509" s="1" t="s">
        <v>1396</v>
      </c>
      <c r="B509" s="1" t="s">
        <v>311</v>
      </c>
      <c r="C509">
        <v>62</v>
      </c>
      <c r="D509" s="1" t="s">
        <v>12</v>
      </c>
      <c r="E509" s="1" t="s">
        <v>40</v>
      </c>
      <c r="F509" s="1" t="s">
        <v>135</v>
      </c>
      <c r="G509" s="1" t="s">
        <v>85</v>
      </c>
      <c r="H509" s="1" t="s">
        <v>165</v>
      </c>
      <c r="I509">
        <v>1490</v>
      </c>
      <c r="J509">
        <v>3784</v>
      </c>
      <c r="K509">
        <v>5527</v>
      </c>
      <c r="L509">
        <v>13953</v>
      </c>
      <c r="M509">
        <v>24754</v>
      </c>
      <c r="N509" s="2">
        <v>45956</v>
      </c>
      <c r="O509" s="2">
        <v>45990</v>
      </c>
      <c r="P509" s="1" t="s">
        <v>34</v>
      </c>
      <c r="Q509" s="1" t="s">
        <v>31</v>
      </c>
      <c r="R509" s="1" t="s">
        <v>17</v>
      </c>
      <c r="S509">
        <v>983</v>
      </c>
      <c r="T509" s="1" t="s">
        <v>1397</v>
      </c>
    </row>
    <row r="510" spans="1:20" x14ac:dyDescent="0.3">
      <c r="A510" s="1" t="s">
        <v>1398</v>
      </c>
      <c r="B510" s="1" t="s">
        <v>1399</v>
      </c>
      <c r="C510">
        <v>40</v>
      </c>
      <c r="D510" s="1" t="s">
        <v>12</v>
      </c>
      <c r="E510" s="1" t="s">
        <v>27</v>
      </c>
      <c r="F510" s="1" t="s">
        <v>120</v>
      </c>
      <c r="G510" s="1" t="s">
        <v>98</v>
      </c>
      <c r="H510" s="1" t="s">
        <v>145</v>
      </c>
      <c r="I510">
        <v>1066</v>
      </c>
      <c r="J510">
        <v>2585</v>
      </c>
      <c r="K510">
        <v>4810</v>
      </c>
      <c r="L510">
        <v>2388</v>
      </c>
      <c r="M510">
        <v>10849</v>
      </c>
      <c r="N510" s="2">
        <v>45726</v>
      </c>
      <c r="O510" s="2">
        <v>45701</v>
      </c>
      <c r="P510" s="1" t="s">
        <v>14</v>
      </c>
      <c r="Q510" s="1" t="s">
        <v>21</v>
      </c>
      <c r="R510" s="1" t="s">
        <v>22</v>
      </c>
      <c r="S510">
        <v>697</v>
      </c>
      <c r="T510" s="1" t="s">
        <v>1400</v>
      </c>
    </row>
    <row r="511" spans="1:20" x14ac:dyDescent="0.3">
      <c r="A511" s="1" t="s">
        <v>1401</v>
      </c>
      <c r="B511" s="1" t="s">
        <v>198</v>
      </c>
      <c r="C511">
        <v>80</v>
      </c>
      <c r="D511" s="1" t="s">
        <v>12</v>
      </c>
      <c r="E511" s="1" t="s">
        <v>38</v>
      </c>
      <c r="F511" s="1" t="s">
        <v>120</v>
      </c>
      <c r="G511" s="1" t="s">
        <v>158</v>
      </c>
      <c r="H511" s="1" t="s">
        <v>92</v>
      </c>
      <c r="I511">
        <v>1257</v>
      </c>
      <c r="J511">
        <v>4043</v>
      </c>
      <c r="K511">
        <v>3650</v>
      </c>
      <c r="L511">
        <v>7021</v>
      </c>
      <c r="M511">
        <v>15971</v>
      </c>
      <c r="N511" s="2">
        <v>45912</v>
      </c>
      <c r="O511" s="2">
        <v>45820</v>
      </c>
      <c r="P511" s="1" t="s">
        <v>14</v>
      </c>
      <c r="Q511" s="1" t="s">
        <v>31</v>
      </c>
      <c r="R511" s="1" t="s">
        <v>17</v>
      </c>
      <c r="S511">
        <v>339</v>
      </c>
      <c r="T511" s="1" t="s">
        <v>1402</v>
      </c>
    </row>
    <row r="512" spans="1:20" x14ac:dyDescent="0.3">
      <c r="A512" s="1" t="s">
        <v>1403</v>
      </c>
      <c r="B512" s="1" t="s">
        <v>734</v>
      </c>
      <c r="C512">
        <v>11</v>
      </c>
      <c r="D512" s="1" t="s">
        <v>12</v>
      </c>
      <c r="E512" s="1" t="s">
        <v>40</v>
      </c>
      <c r="F512" s="1" t="s">
        <v>114</v>
      </c>
      <c r="G512" s="1" t="s">
        <v>91</v>
      </c>
      <c r="H512" s="1" t="s">
        <v>165</v>
      </c>
      <c r="I512">
        <v>766</v>
      </c>
      <c r="J512">
        <v>1306</v>
      </c>
      <c r="K512">
        <v>1271</v>
      </c>
      <c r="L512">
        <v>2168</v>
      </c>
      <c r="M512">
        <v>5511</v>
      </c>
      <c r="N512" s="2">
        <v>45842</v>
      </c>
      <c r="O512" s="2">
        <v>45677</v>
      </c>
      <c r="P512" s="1" t="s">
        <v>110</v>
      </c>
      <c r="Q512" s="1" t="s">
        <v>31</v>
      </c>
      <c r="R512" s="1" t="s">
        <v>87</v>
      </c>
      <c r="S512">
        <v>437</v>
      </c>
      <c r="T512" s="1" t="s">
        <v>1404</v>
      </c>
    </row>
    <row r="513" spans="1:20" x14ac:dyDescent="0.3">
      <c r="A513" s="1" t="s">
        <v>1405</v>
      </c>
      <c r="B513" s="1" t="s">
        <v>1406</v>
      </c>
      <c r="C513">
        <v>25</v>
      </c>
      <c r="D513" s="1" t="s">
        <v>23</v>
      </c>
      <c r="E513" s="1" t="s">
        <v>33</v>
      </c>
      <c r="F513" s="1" t="s">
        <v>124</v>
      </c>
      <c r="G513" s="1" t="s">
        <v>125</v>
      </c>
      <c r="H513" s="1" t="s">
        <v>18</v>
      </c>
      <c r="I513">
        <v>913</v>
      </c>
      <c r="J513">
        <v>2808</v>
      </c>
      <c r="K513">
        <v>7036</v>
      </c>
      <c r="L513">
        <v>6679</v>
      </c>
      <c r="M513">
        <v>17436</v>
      </c>
      <c r="N513" s="2">
        <v>45864</v>
      </c>
      <c r="O513" s="2">
        <v>45865</v>
      </c>
      <c r="P513" s="1" t="s">
        <v>136</v>
      </c>
      <c r="Q513" s="1" t="s">
        <v>31</v>
      </c>
      <c r="R513" s="1" t="s">
        <v>17</v>
      </c>
      <c r="S513">
        <v>333</v>
      </c>
      <c r="T513" s="1" t="s">
        <v>1407</v>
      </c>
    </row>
    <row r="514" spans="1:20" x14ac:dyDescent="0.3">
      <c r="A514" s="1" t="s">
        <v>1408</v>
      </c>
      <c r="B514" s="1" t="s">
        <v>1409</v>
      </c>
      <c r="C514">
        <v>30</v>
      </c>
      <c r="D514" s="1" t="s">
        <v>12</v>
      </c>
      <c r="E514" s="1" t="s">
        <v>40</v>
      </c>
      <c r="F514" s="1" t="s">
        <v>135</v>
      </c>
      <c r="G514" s="1" t="s">
        <v>125</v>
      </c>
      <c r="H514" s="1" t="s">
        <v>186</v>
      </c>
      <c r="I514">
        <v>475</v>
      </c>
      <c r="J514">
        <v>3064</v>
      </c>
      <c r="K514">
        <v>7228</v>
      </c>
      <c r="L514">
        <v>4077</v>
      </c>
      <c r="M514">
        <v>14844</v>
      </c>
      <c r="N514" s="2">
        <v>45877</v>
      </c>
      <c r="O514" s="2">
        <v>46015</v>
      </c>
      <c r="P514" s="1" t="s">
        <v>93</v>
      </c>
      <c r="Q514" s="1" t="s">
        <v>9</v>
      </c>
      <c r="R514" s="1" t="s">
        <v>87</v>
      </c>
      <c r="S514">
        <v>130</v>
      </c>
      <c r="T514" s="1" t="s">
        <v>1410</v>
      </c>
    </row>
    <row r="515" spans="1:20" x14ac:dyDescent="0.3">
      <c r="A515" s="1" t="s">
        <v>1411</v>
      </c>
      <c r="B515" s="1" t="s">
        <v>575</v>
      </c>
      <c r="C515">
        <v>17</v>
      </c>
      <c r="D515" s="1" t="s">
        <v>12</v>
      </c>
      <c r="E515" s="1" t="s">
        <v>36</v>
      </c>
      <c r="F515" s="1" t="s">
        <v>103</v>
      </c>
      <c r="G515" s="1" t="s">
        <v>91</v>
      </c>
      <c r="H515" s="1" t="s">
        <v>215</v>
      </c>
      <c r="I515">
        <v>1026</v>
      </c>
      <c r="J515">
        <v>3283</v>
      </c>
      <c r="K515">
        <v>2147</v>
      </c>
      <c r="L515">
        <v>7867</v>
      </c>
      <c r="M515">
        <v>14323</v>
      </c>
      <c r="N515" s="2">
        <v>45875</v>
      </c>
      <c r="O515" s="2">
        <v>46009</v>
      </c>
      <c r="P515" s="1" t="s">
        <v>93</v>
      </c>
      <c r="Q515" s="1" t="s">
        <v>16</v>
      </c>
      <c r="R515" s="1" t="s">
        <v>87</v>
      </c>
      <c r="S515">
        <v>904</v>
      </c>
      <c r="T515" s="1" t="s">
        <v>1412</v>
      </c>
    </row>
    <row r="516" spans="1:20" x14ac:dyDescent="0.3">
      <c r="A516" s="1" t="s">
        <v>1413</v>
      </c>
      <c r="B516" s="1" t="s">
        <v>761</v>
      </c>
      <c r="C516">
        <v>43</v>
      </c>
      <c r="D516" s="1" t="s">
        <v>12</v>
      </c>
      <c r="E516" s="1" t="s">
        <v>20</v>
      </c>
      <c r="F516" s="1" t="s">
        <v>120</v>
      </c>
      <c r="G516" s="1" t="s">
        <v>98</v>
      </c>
      <c r="H516" s="1" t="s">
        <v>115</v>
      </c>
      <c r="I516">
        <v>1100</v>
      </c>
      <c r="J516">
        <v>1021</v>
      </c>
      <c r="K516">
        <v>4678</v>
      </c>
      <c r="L516">
        <v>7331</v>
      </c>
      <c r="M516">
        <v>14130</v>
      </c>
      <c r="N516" s="2">
        <v>45754</v>
      </c>
      <c r="O516" s="2">
        <v>45901</v>
      </c>
      <c r="P516" s="1" t="s">
        <v>35</v>
      </c>
      <c r="Q516" s="1" t="s">
        <v>9</v>
      </c>
      <c r="R516" s="1" t="s">
        <v>87</v>
      </c>
      <c r="S516">
        <v>411</v>
      </c>
      <c r="T516" s="1" t="s">
        <v>1414</v>
      </c>
    </row>
    <row r="517" spans="1:20" x14ac:dyDescent="0.3">
      <c r="A517" s="1" t="s">
        <v>1415</v>
      </c>
      <c r="B517" s="1" t="s">
        <v>840</v>
      </c>
      <c r="C517">
        <v>71</v>
      </c>
      <c r="D517" s="1" t="s">
        <v>23</v>
      </c>
      <c r="E517" s="1" t="s">
        <v>40</v>
      </c>
      <c r="F517" s="1" t="s">
        <v>103</v>
      </c>
      <c r="G517" s="1" t="s">
        <v>91</v>
      </c>
      <c r="H517" s="1" t="s">
        <v>215</v>
      </c>
      <c r="I517">
        <v>354</v>
      </c>
      <c r="J517">
        <v>2029</v>
      </c>
      <c r="K517">
        <v>1930</v>
      </c>
      <c r="L517">
        <v>2138</v>
      </c>
      <c r="M517">
        <v>6451</v>
      </c>
      <c r="N517" s="2">
        <v>45855</v>
      </c>
      <c r="O517" s="2">
        <v>45803</v>
      </c>
      <c r="P517" s="1" t="s">
        <v>19</v>
      </c>
      <c r="Q517" s="1" t="s">
        <v>16</v>
      </c>
      <c r="R517" s="1" t="s">
        <v>17</v>
      </c>
      <c r="S517">
        <v>158</v>
      </c>
      <c r="T517" s="1" t="s">
        <v>1416</v>
      </c>
    </row>
    <row r="518" spans="1:20" x14ac:dyDescent="0.3">
      <c r="A518" s="1" t="s">
        <v>1417</v>
      </c>
      <c r="B518" s="1" t="s">
        <v>1418</v>
      </c>
      <c r="C518">
        <v>22</v>
      </c>
      <c r="D518" s="1" t="s">
        <v>12</v>
      </c>
      <c r="E518" s="1" t="s">
        <v>38</v>
      </c>
      <c r="F518" s="1" t="s">
        <v>120</v>
      </c>
      <c r="G518" s="1" t="s">
        <v>176</v>
      </c>
      <c r="H518" s="1" t="s">
        <v>155</v>
      </c>
      <c r="I518">
        <v>621</v>
      </c>
      <c r="J518">
        <v>1407</v>
      </c>
      <c r="K518">
        <v>1357</v>
      </c>
      <c r="L518">
        <v>9789</v>
      </c>
      <c r="M518">
        <v>13174</v>
      </c>
      <c r="N518" s="2">
        <v>45872</v>
      </c>
      <c r="O518" s="2">
        <v>45902</v>
      </c>
      <c r="P518" s="1" t="s">
        <v>35</v>
      </c>
      <c r="Q518" s="1" t="s">
        <v>31</v>
      </c>
      <c r="R518" s="1" t="s">
        <v>22</v>
      </c>
      <c r="S518">
        <v>991</v>
      </c>
      <c r="T518" s="1" t="s">
        <v>1419</v>
      </c>
    </row>
    <row r="519" spans="1:20" x14ac:dyDescent="0.3">
      <c r="A519" s="1" t="s">
        <v>1420</v>
      </c>
      <c r="B519" s="1" t="s">
        <v>708</v>
      </c>
      <c r="C519">
        <v>61</v>
      </c>
      <c r="D519" s="1" t="s">
        <v>23</v>
      </c>
      <c r="E519" s="1" t="s">
        <v>24</v>
      </c>
      <c r="F519" s="1" t="s">
        <v>124</v>
      </c>
      <c r="G519" s="1" t="s">
        <v>176</v>
      </c>
      <c r="H519" s="1" t="s">
        <v>115</v>
      </c>
      <c r="I519">
        <v>1329</v>
      </c>
      <c r="J519">
        <v>4259</v>
      </c>
      <c r="K519">
        <v>2556</v>
      </c>
      <c r="L519">
        <v>4304</v>
      </c>
      <c r="M519">
        <v>12448</v>
      </c>
      <c r="N519" s="2">
        <v>45661</v>
      </c>
      <c r="O519" s="2">
        <v>45731</v>
      </c>
      <c r="P519" s="1" t="s">
        <v>116</v>
      </c>
      <c r="Q519" s="1" t="s">
        <v>9</v>
      </c>
      <c r="R519" s="1" t="s">
        <v>87</v>
      </c>
      <c r="S519">
        <v>926</v>
      </c>
      <c r="T519" s="1" t="s">
        <v>1421</v>
      </c>
    </row>
    <row r="520" spans="1:20" x14ac:dyDescent="0.3">
      <c r="A520" s="1" t="s">
        <v>1422</v>
      </c>
      <c r="B520" s="1" t="s">
        <v>1423</v>
      </c>
      <c r="C520">
        <v>73</v>
      </c>
      <c r="D520" s="1" t="s">
        <v>12</v>
      </c>
      <c r="E520" s="1" t="s">
        <v>20</v>
      </c>
      <c r="F520" s="1" t="s">
        <v>135</v>
      </c>
      <c r="G520" s="1" t="s">
        <v>104</v>
      </c>
      <c r="H520" s="1" t="s">
        <v>92</v>
      </c>
      <c r="I520">
        <v>1479</v>
      </c>
      <c r="J520">
        <v>820</v>
      </c>
      <c r="K520">
        <v>6339</v>
      </c>
      <c r="L520">
        <v>2492</v>
      </c>
      <c r="M520">
        <v>11130</v>
      </c>
      <c r="N520" s="2">
        <v>45805</v>
      </c>
      <c r="O520" s="2">
        <v>45988</v>
      </c>
      <c r="P520" s="1" t="s">
        <v>116</v>
      </c>
      <c r="Q520" s="1" t="s">
        <v>21</v>
      </c>
      <c r="R520" s="1" t="s">
        <v>17</v>
      </c>
      <c r="S520">
        <v>727</v>
      </c>
      <c r="T520" s="1" t="s">
        <v>1424</v>
      </c>
    </row>
    <row r="521" spans="1:20" x14ac:dyDescent="0.3">
      <c r="A521" s="1" t="s">
        <v>1425</v>
      </c>
      <c r="B521" s="1" t="s">
        <v>1260</v>
      </c>
      <c r="C521">
        <v>32</v>
      </c>
      <c r="D521" s="1" t="s">
        <v>23</v>
      </c>
      <c r="E521" s="1" t="s">
        <v>40</v>
      </c>
      <c r="F521" s="1" t="s">
        <v>120</v>
      </c>
      <c r="G521" s="1" t="s">
        <v>176</v>
      </c>
      <c r="H521" s="1" t="s">
        <v>92</v>
      </c>
      <c r="I521">
        <v>1087</v>
      </c>
      <c r="J521">
        <v>2002</v>
      </c>
      <c r="K521">
        <v>6022</v>
      </c>
      <c r="L521">
        <v>10316</v>
      </c>
      <c r="M521">
        <v>19427</v>
      </c>
      <c r="N521" s="2">
        <v>45706</v>
      </c>
      <c r="O521" s="2">
        <v>45859</v>
      </c>
      <c r="P521" s="1" t="s">
        <v>34</v>
      </c>
      <c r="Q521" s="1" t="s">
        <v>31</v>
      </c>
      <c r="R521" s="1" t="s">
        <v>17</v>
      </c>
      <c r="S521">
        <v>743</v>
      </c>
      <c r="T521" s="1" t="s">
        <v>1426</v>
      </c>
    </row>
    <row r="522" spans="1:20" x14ac:dyDescent="0.3">
      <c r="A522" s="1" t="s">
        <v>1427</v>
      </c>
      <c r="B522" s="1" t="s">
        <v>668</v>
      </c>
      <c r="C522">
        <v>28</v>
      </c>
      <c r="D522" s="1" t="s">
        <v>12</v>
      </c>
      <c r="E522" s="1" t="s">
        <v>27</v>
      </c>
      <c r="F522" s="1" t="s">
        <v>120</v>
      </c>
      <c r="G522" s="1" t="s">
        <v>85</v>
      </c>
      <c r="H522" s="1" t="s">
        <v>13</v>
      </c>
      <c r="I522">
        <v>1055</v>
      </c>
      <c r="J522">
        <v>1126</v>
      </c>
      <c r="K522">
        <v>6488</v>
      </c>
      <c r="L522">
        <v>2723</v>
      </c>
      <c r="M522">
        <v>11392</v>
      </c>
      <c r="N522" s="2">
        <v>45916</v>
      </c>
      <c r="O522" s="2">
        <v>45824</v>
      </c>
      <c r="P522" s="1" t="s">
        <v>93</v>
      </c>
      <c r="Q522" s="1" t="s">
        <v>21</v>
      </c>
      <c r="R522" s="1" t="s">
        <v>22</v>
      </c>
      <c r="S522">
        <v>618</v>
      </c>
      <c r="T522" s="1" t="s">
        <v>1428</v>
      </c>
    </row>
    <row r="523" spans="1:20" x14ac:dyDescent="0.3">
      <c r="A523" s="1" t="s">
        <v>1429</v>
      </c>
      <c r="B523" s="1" t="s">
        <v>43</v>
      </c>
      <c r="C523">
        <v>10</v>
      </c>
      <c r="D523" s="1" t="s">
        <v>12</v>
      </c>
      <c r="E523" s="1" t="s">
        <v>15</v>
      </c>
      <c r="F523" s="1" t="s">
        <v>120</v>
      </c>
      <c r="G523" s="1" t="s">
        <v>91</v>
      </c>
      <c r="H523" s="1" t="s">
        <v>186</v>
      </c>
      <c r="I523">
        <v>1117</v>
      </c>
      <c r="J523">
        <v>2092</v>
      </c>
      <c r="K523">
        <v>3549</v>
      </c>
      <c r="L523">
        <v>1618</v>
      </c>
      <c r="M523">
        <v>8376</v>
      </c>
      <c r="N523" s="2">
        <v>45663</v>
      </c>
      <c r="O523" s="2">
        <v>45786</v>
      </c>
      <c r="P523" s="1" t="s">
        <v>35</v>
      </c>
      <c r="Q523" s="1" t="s">
        <v>9</v>
      </c>
      <c r="R523" s="1" t="s">
        <v>17</v>
      </c>
      <c r="S523">
        <v>572</v>
      </c>
      <c r="T523" s="1" t="s">
        <v>1430</v>
      </c>
    </row>
    <row r="524" spans="1:20" x14ac:dyDescent="0.3">
      <c r="A524" s="1" t="s">
        <v>1431</v>
      </c>
      <c r="B524" s="1" t="s">
        <v>401</v>
      </c>
      <c r="C524">
        <v>85</v>
      </c>
      <c r="D524" s="1" t="s">
        <v>23</v>
      </c>
      <c r="E524" s="1" t="s">
        <v>24</v>
      </c>
      <c r="F524" s="1" t="s">
        <v>135</v>
      </c>
      <c r="G524" s="1" t="s">
        <v>85</v>
      </c>
      <c r="H524" s="1" t="s">
        <v>86</v>
      </c>
      <c r="I524">
        <v>1264</v>
      </c>
      <c r="J524">
        <v>2786</v>
      </c>
      <c r="K524">
        <v>7194</v>
      </c>
      <c r="L524">
        <v>3643</v>
      </c>
      <c r="M524">
        <v>14887</v>
      </c>
      <c r="N524" s="2">
        <v>45745</v>
      </c>
      <c r="O524" s="2">
        <v>45667</v>
      </c>
      <c r="P524" s="1" t="s">
        <v>136</v>
      </c>
      <c r="Q524" s="1" t="s">
        <v>21</v>
      </c>
      <c r="R524" s="1" t="s">
        <v>22</v>
      </c>
      <c r="S524">
        <v>647</v>
      </c>
      <c r="T524" s="1" t="s">
        <v>1432</v>
      </c>
    </row>
    <row r="525" spans="1:20" x14ac:dyDescent="0.3">
      <c r="A525" s="1" t="s">
        <v>1433</v>
      </c>
      <c r="B525" s="1" t="s">
        <v>1434</v>
      </c>
      <c r="C525">
        <v>10</v>
      </c>
      <c r="D525" s="1" t="s">
        <v>23</v>
      </c>
      <c r="E525" s="1" t="s">
        <v>40</v>
      </c>
      <c r="F525" s="1" t="s">
        <v>124</v>
      </c>
      <c r="G525" s="1" t="s">
        <v>125</v>
      </c>
      <c r="H525" s="1" t="s">
        <v>86</v>
      </c>
      <c r="I525">
        <v>1202</v>
      </c>
      <c r="J525">
        <v>3433</v>
      </c>
      <c r="K525">
        <v>1757</v>
      </c>
      <c r="L525">
        <v>4549</v>
      </c>
      <c r="M525">
        <v>10941</v>
      </c>
      <c r="N525" s="2">
        <v>45675</v>
      </c>
      <c r="O525" s="2">
        <v>46003</v>
      </c>
      <c r="P525" s="1" t="s">
        <v>110</v>
      </c>
      <c r="Q525" s="1" t="s">
        <v>16</v>
      </c>
      <c r="R525" s="1" t="s">
        <v>87</v>
      </c>
      <c r="S525">
        <v>930</v>
      </c>
      <c r="T525" s="1" t="s">
        <v>1435</v>
      </c>
    </row>
    <row r="526" spans="1:20" x14ac:dyDescent="0.3">
      <c r="A526" s="1" t="s">
        <v>1436</v>
      </c>
      <c r="B526" s="1" t="s">
        <v>183</v>
      </c>
      <c r="C526">
        <v>40</v>
      </c>
      <c r="D526" s="1" t="s">
        <v>12</v>
      </c>
      <c r="E526" s="1" t="s">
        <v>40</v>
      </c>
      <c r="F526" s="1" t="s">
        <v>103</v>
      </c>
      <c r="G526" s="1" t="s">
        <v>158</v>
      </c>
      <c r="H526" s="1" t="s">
        <v>18</v>
      </c>
      <c r="I526">
        <v>399</v>
      </c>
      <c r="J526">
        <v>3591</v>
      </c>
      <c r="K526">
        <v>6584</v>
      </c>
      <c r="L526">
        <v>4305</v>
      </c>
      <c r="M526">
        <v>14879</v>
      </c>
      <c r="N526" s="2">
        <v>45785</v>
      </c>
      <c r="O526" s="2">
        <v>45849</v>
      </c>
      <c r="P526" s="1" t="s">
        <v>19</v>
      </c>
      <c r="Q526" s="1" t="s">
        <v>16</v>
      </c>
      <c r="R526" s="1" t="s">
        <v>17</v>
      </c>
      <c r="S526">
        <v>128</v>
      </c>
      <c r="T526" s="1" t="s">
        <v>1437</v>
      </c>
    </row>
    <row r="527" spans="1:20" x14ac:dyDescent="0.3">
      <c r="A527" s="1" t="s">
        <v>1438</v>
      </c>
      <c r="B527" s="1" t="s">
        <v>39</v>
      </c>
      <c r="C527">
        <v>9</v>
      </c>
      <c r="D527" s="1" t="s">
        <v>23</v>
      </c>
      <c r="E527" s="1" t="s">
        <v>40</v>
      </c>
      <c r="F527" s="1" t="s">
        <v>114</v>
      </c>
      <c r="G527" s="1" t="s">
        <v>98</v>
      </c>
      <c r="H527" s="1" t="s">
        <v>145</v>
      </c>
      <c r="I527">
        <v>642</v>
      </c>
      <c r="J527">
        <v>860</v>
      </c>
      <c r="K527">
        <v>3705</v>
      </c>
      <c r="L527">
        <v>9396</v>
      </c>
      <c r="M527">
        <v>14603</v>
      </c>
      <c r="N527" s="2">
        <v>45713</v>
      </c>
      <c r="O527" s="2">
        <v>45825</v>
      </c>
      <c r="P527" s="1" t="s">
        <v>177</v>
      </c>
      <c r="Q527" s="1" t="s">
        <v>31</v>
      </c>
      <c r="R527" s="1" t="s">
        <v>87</v>
      </c>
      <c r="S527">
        <v>504</v>
      </c>
      <c r="T527" s="1" t="s">
        <v>1439</v>
      </c>
    </row>
    <row r="528" spans="1:20" x14ac:dyDescent="0.3">
      <c r="A528" s="1" t="s">
        <v>1440</v>
      </c>
      <c r="B528" s="1" t="s">
        <v>591</v>
      </c>
      <c r="C528">
        <v>28</v>
      </c>
      <c r="D528" s="1" t="s">
        <v>23</v>
      </c>
      <c r="E528" s="1" t="s">
        <v>40</v>
      </c>
      <c r="F528" s="1" t="s">
        <v>97</v>
      </c>
      <c r="G528" s="1" t="s">
        <v>125</v>
      </c>
      <c r="H528" s="1" t="s">
        <v>186</v>
      </c>
      <c r="I528">
        <v>655</v>
      </c>
      <c r="J528">
        <v>622</v>
      </c>
      <c r="K528">
        <v>3594</v>
      </c>
      <c r="L528">
        <v>11715</v>
      </c>
      <c r="M528">
        <v>16586</v>
      </c>
      <c r="N528" s="2">
        <v>45819</v>
      </c>
      <c r="O528" s="2">
        <v>45664</v>
      </c>
      <c r="P528" s="1" t="s">
        <v>93</v>
      </c>
      <c r="Q528" s="1" t="s">
        <v>31</v>
      </c>
      <c r="R528" s="1" t="s">
        <v>22</v>
      </c>
      <c r="S528">
        <v>773</v>
      </c>
      <c r="T528" s="1" t="s">
        <v>1441</v>
      </c>
    </row>
    <row r="529" spans="1:20" x14ac:dyDescent="0.3">
      <c r="A529" s="1" t="s">
        <v>1442</v>
      </c>
      <c r="B529" s="1" t="s">
        <v>441</v>
      </c>
      <c r="C529">
        <v>48</v>
      </c>
      <c r="D529" s="1" t="s">
        <v>23</v>
      </c>
      <c r="E529" s="1" t="s">
        <v>15</v>
      </c>
      <c r="F529" s="1" t="s">
        <v>114</v>
      </c>
      <c r="G529" s="1" t="s">
        <v>91</v>
      </c>
      <c r="H529" s="1" t="s">
        <v>115</v>
      </c>
      <c r="I529">
        <v>1141</v>
      </c>
      <c r="J529">
        <v>2970</v>
      </c>
      <c r="K529">
        <v>6587</v>
      </c>
      <c r="L529">
        <v>10811</v>
      </c>
      <c r="M529">
        <v>21509</v>
      </c>
      <c r="N529" s="2">
        <v>45913</v>
      </c>
      <c r="O529" s="2">
        <v>45710</v>
      </c>
      <c r="P529" s="1" t="s">
        <v>110</v>
      </c>
      <c r="Q529" s="1" t="s">
        <v>16</v>
      </c>
      <c r="R529" s="1" t="s">
        <v>87</v>
      </c>
      <c r="S529">
        <v>432</v>
      </c>
      <c r="T529" s="1" t="s">
        <v>1443</v>
      </c>
    </row>
    <row r="530" spans="1:20" x14ac:dyDescent="0.3">
      <c r="A530" s="1" t="s">
        <v>1444</v>
      </c>
      <c r="B530" s="1" t="s">
        <v>273</v>
      </c>
      <c r="C530">
        <v>43</v>
      </c>
      <c r="D530" s="1" t="s">
        <v>23</v>
      </c>
      <c r="E530" s="1" t="s">
        <v>40</v>
      </c>
      <c r="F530" s="1" t="s">
        <v>97</v>
      </c>
      <c r="G530" s="1" t="s">
        <v>98</v>
      </c>
      <c r="H530" s="1" t="s">
        <v>215</v>
      </c>
      <c r="I530">
        <v>438</v>
      </c>
      <c r="J530">
        <v>3245</v>
      </c>
      <c r="K530">
        <v>444</v>
      </c>
      <c r="L530">
        <v>10970</v>
      </c>
      <c r="M530">
        <v>15097</v>
      </c>
      <c r="N530" s="2">
        <v>45957</v>
      </c>
      <c r="O530" s="2">
        <v>45887</v>
      </c>
      <c r="P530" s="1" t="s">
        <v>93</v>
      </c>
      <c r="Q530" s="1" t="s">
        <v>16</v>
      </c>
      <c r="R530" s="1" t="s">
        <v>22</v>
      </c>
      <c r="S530">
        <v>121</v>
      </c>
      <c r="T530" s="1" t="s">
        <v>1445</v>
      </c>
    </row>
    <row r="531" spans="1:20" x14ac:dyDescent="0.3">
      <c r="A531" s="1" t="s">
        <v>1446</v>
      </c>
      <c r="B531" s="1" t="s">
        <v>901</v>
      </c>
      <c r="C531">
        <v>31</v>
      </c>
      <c r="D531" s="1" t="s">
        <v>12</v>
      </c>
      <c r="E531" s="1" t="s">
        <v>38</v>
      </c>
      <c r="F531" s="1" t="s">
        <v>84</v>
      </c>
      <c r="G531" s="1" t="s">
        <v>85</v>
      </c>
      <c r="H531" s="1" t="s">
        <v>37</v>
      </c>
      <c r="I531">
        <v>422</v>
      </c>
      <c r="J531">
        <v>1626</v>
      </c>
      <c r="K531">
        <v>3368</v>
      </c>
      <c r="L531">
        <v>9171</v>
      </c>
      <c r="M531">
        <v>14587</v>
      </c>
      <c r="N531" s="2">
        <v>45809</v>
      </c>
      <c r="O531" s="2">
        <v>45761</v>
      </c>
      <c r="P531" s="1" t="s">
        <v>25</v>
      </c>
      <c r="Q531" s="1" t="s">
        <v>16</v>
      </c>
      <c r="R531" s="1" t="s">
        <v>22</v>
      </c>
      <c r="S531">
        <v>842</v>
      </c>
      <c r="T531" s="1" t="s">
        <v>1447</v>
      </c>
    </row>
    <row r="532" spans="1:20" x14ac:dyDescent="0.3">
      <c r="A532" s="1" t="s">
        <v>1448</v>
      </c>
      <c r="B532" s="1" t="s">
        <v>1145</v>
      </c>
      <c r="C532">
        <v>18</v>
      </c>
      <c r="D532" s="1" t="s">
        <v>12</v>
      </c>
      <c r="E532" s="1" t="s">
        <v>20</v>
      </c>
      <c r="F532" s="1" t="s">
        <v>97</v>
      </c>
      <c r="G532" s="1" t="s">
        <v>91</v>
      </c>
      <c r="H532" s="1" t="s">
        <v>29</v>
      </c>
      <c r="I532">
        <v>1366</v>
      </c>
      <c r="J532">
        <v>3898</v>
      </c>
      <c r="K532">
        <v>5608</v>
      </c>
      <c r="L532">
        <v>14315</v>
      </c>
      <c r="M532">
        <v>25187</v>
      </c>
      <c r="N532" s="2">
        <v>45805</v>
      </c>
      <c r="O532" s="2">
        <v>45670</v>
      </c>
      <c r="P532" s="1" t="s">
        <v>19</v>
      </c>
      <c r="Q532" s="1" t="s">
        <v>31</v>
      </c>
      <c r="R532" s="1" t="s">
        <v>22</v>
      </c>
      <c r="S532">
        <v>652</v>
      </c>
      <c r="T532" s="1" t="s">
        <v>1449</v>
      </c>
    </row>
    <row r="533" spans="1:20" x14ac:dyDescent="0.3">
      <c r="A533" s="1" t="s">
        <v>1450</v>
      </c>
      <c r="B533" s="1" t="s">
        <v>858</v>
      </c>
      <c r="C533">
        <v>78</v>
      </c>
      <c r="D533" s="1" t="s">
        <v>12</v>
      </c>
      <c r="E533" s="1" t="s">
        <v>15</v>
      </c>
      <c r="F533" s="1" t="s">
        <v>97</v>
      </c>
      <c r="G533" s="1" t="s">
        <v>85</v>
      </c>
      <c r="H533" s="1" t="s">
        <v>145</v>
      </c>
      <c r="I533">
        <v>1205</v>
      </c>
      <c r="J533">
        <v>549</v>
      </c>
      <c r="K533">
        <v>829</v>
      </c>
      <c r="L533">
        <v>9055</v>
      </c>
      <c r="M533">
        <v>11638</v>
      </c>
      <c r="N533" s="2">
        <v>45693</v>
      </c>
      <c r="O533" s="2">
        <v>45756</v>
      </c>
      <c r="P533" s="1" t="s">
        <v>34</v>
      </c>
      <c r="Q533" s="1" t="s">
        <v>31</v>
      </c>
      <c r="R533" s="1" t="s">
        <v>22</v>
      </c>
      <c r="S533">
        <v>277</v>
      </c>
      <c r="T533" s="1" t="s">
        <v>1451</v>
      </c>
    </row>
    <row r="534" spans="1:20" x14ac:dyDescent="0.3">
      <c r="A534" s="1" t="s">
        <v>1452</v>
      </c>
      <c r="B534" s="1" t="s">
        <v>90</v>
      </c>
      <c r="C534">
        <v>31</v>
      </c>
      <c r="D534" s="1" t="s">
        <v>23</v>
      </c>
      <c r="E534" s="1" t="s">
        <v>40</v>
      </c>
      <c r="F534" s="1" t="s">
        <v>120</v>
      </c>
      <c r="G534" s="1" t="s">
        <v>91</v>
      </c>
      <c r="H534" s="1" t="s">
        <v>92</v>
      </c>
      <c r="I534">
        <v>937</v>
      </c>
      <c r="J534">
        <v>1844</v>
      </c>
      <c r="K534">
        <v>6211</v>
      </c>
      <c r="L534">
        <v>4236</v>
      </c>
      <c r="M534">
        <v>13228</v>
      </c>
      <c r="N534" s="2">
        <v>45783</v>
      </c>
      <c r="O534" s="2">
        <v>45875</v>
      </c>
      <c r="P534" s="1" t="s">
        <v>25</v>
      </c>
      <c r="Q534" s="1" t="s">
        <v>21</v>
      </c>
      <c r="R534" s="1" t="s">
        <v>87</v>
      </c>
      <c r="S534">
        <v>559</v>
      </c>
      <c r="T534" s="1" t="s">
        <v>1453</v>
      </c>
    </row>
    <row r="535" spans="1:20" x14ac:dyDescent="0.3">
      <c r="A535" s="1" t="s">
        <v>1454</v>
      </c>
      <c r="B535" s="1" t="s">
        <v>108</v>
      </c>
      <c r="C535">
        <v>62</v>
      </c>
      <c r="D535" s="1" t="s">
        <v>23</v>
      </c>
      <c r="E535" s="1" t="s">
        <v>38</v>
      </c>
      <c r="F535" s="1" t="s">
        <v>97</v>
      </c>
      <c r="G535" s="1" t="s">
        <v>176</v>
      </c>
      <c r="H535" s="1" t="s">
        <v>155</v>
      </c>
      <c r="I535">
        <v>1073</v>
      </c>
      <c r="J535">
        <v>1874</v>
      </c>
      <c r="K535">
        <v>4156</v>
      </c>
      <c r="L535">
        <v>8231</v>
      </c>
      <c r="M535">
        <v>15334</v>
      </c>
      <c r="N535" s="2">
        <v>45874</v>
      </c>
      <c r="O535" s="2">
        <v>45916</v>
      </c>
      <c r="P535" s="1" t="s">
        <v>136</v>
      </c>
      <c r="Q535" s="1" t="s">
        <v>31</v>
      </c>
      <c r="R535" s="1" t="s">
        <v>17</v>
      </c>
      <c r="S535">
        <v>120</v>
      </c>
      <c r="T535" s="1" t="s">
        <v>1455</v>
      </c>
    </row>
    <row r="536" spans="1:20" x14ac:dyDescent="0.3">
      <c r="A536" s="1" t="s">
        <v>1456</v>
      </c>
      <c r="B536" s="1" t="s">
        <v>208</v>
      </c>
      <c r="C536">
        <v>11</v>
      </c>
      <c r="D536" s="1" t="s">
        <v>12</v>
      </c>
      <c r="E536" s="1" t="s">
        <v>27</v>
      </c>
      <c r="F536" s="1" t="s">
        <v>109</v>
      </c>
      <c r="G536" s="1" t="s">
        <v>158</v>
      </c>
      <c r="H536" s="1" t="s">
        <v>145</v>
      </c>
      <c r="I536">
        <v>826</v>
      </c>
      <c r="J536">
        <v>3616</v>
      </c>
      <c r="K536">
        <v>4098</v>
      </c>
      <c r="L536">
        <v>6011</v>
      </c>
      <c r="M536">
        <v>14551</v>
      </c>
      <c r="N536" s="2">
        <v>45890</v>
      </c>
      <c r="O536" s="2">
        <v>45803</v>
      </c>
      <c r="P536" s="1" t="s">
        <v>93</v>
      </c>
      <c r="Q536" s="1" t="s">
        <v>21</v>
      </c>
      <c r="R536" s="1" t="s">
        <v>22</v>
      </c>
      <c r="S536">
        <v>832</v>
      </c>
      <c r="T536" s="1" t="s">
        <v>1457</v>
      </c>
    </row>
    <row r="537" spans="1:20" x14ac:dyDescent="0.3">
      <c r="A537" s="1" t="s">
        <v>1458</v>
      </c>
      <c r="B537" s="1" t="s">
        <v>1459</v>
      </c>
      <c r="C537">
        <v>25</v>
      </c>
      <c r="D537" s="1" t="s">
        <v>23</v>
      </c>
      <c r="E537" s="1" t="s">
        <v>27</v>
      </c>
      <c r="F537" s="1" t="s">
        <v>103</v>
      </c>
      <c r="G537" s="1" t="s">
        <v>91</v>
      </c>
      <c r="H537" s="1" t="s">
        <v>99</v>
      </c>
      <c r="I537">
        <v>1306</v>
      </c>
      <c r="J537">
        <v>3814</v>
      </c>
      <c r="K537">
        <v>7883</v>
      </c>
      <c r="L537">
        <v>7812</v>
      </c>
      <c r="M537">
        <v>20815</v>
      </c>
      <c r="N537" s="2">
        <v>45860</v>
      </c>
      <c r="O537" s="2">
        <v>45849</v>
      </c>
      <c r="P537" s="1" t="s">
        <v>93</v>
      </c>
      <c r="Q537" s="1" t="s">
        <v>16</v>
      </c>
      <c r="R537" s="1" t="s">
        <v>17</v>
      </c>
      <c r="S537">
        <v>139</v>
      </c>
      <c r="T537" s="1" t="s">
        <v>1460</v>
      </c>
    </row>
    <row r="538" spans="1:20" x14ac:dyDescent="0.3">
      <c r="A538" s="1" t="s">
        <v>1461</v>
      </c>
      <c r="B538" s="1" t="s">
        <v>183</v>
      </c>
      <c r="C538">
        <v>73</v>
      </c>
      <c r="D538" s="1" t="s">
        <v>23</v>
      </c>
      <c r="E538" s="1" t="s">
        <v>33</v>
      </c>
      <c r="F538" s="1" t="s">
        <v>84</v>
      </c>
      <c r="G538" s="1" t="s">
        <v>104</v>
      </c>
      <c r="H538" s="1" t="s">
        <v>199</v>
      </c>
      <c r="I538">
        <v>822</v>
      </c>
      <c r="J538">
        <v>3355</v>
      </c>
      <c r="K538">
        <v>4474</v>
      </c>
      <c r="L538">
        <v>12618</v>
      </c>
      <c r="M538">
        <v>21269</v>
      </c>
      <c r="N538" s="2">
        <v>45908</v>
      </c>
      <c r="O538" s="2">
        <v>45983</v>
      </c>
      <c r="P538" s="1" t="s">
        <v>177</v>
      </c>
      <c r="Q538" s="1" t="s">
        <v>9</v>
      </c>
      <c r="R538" s="1" t="s">
        <v>17</v>
      </c>
      <c r="S538">
        <v>853</v>
      </c>
      <c r="T538" s="1" t="s">
        <v>1462</v>
      </c>
    </row>
    <row r="539" spans="1:20" x14ac:dyDescent="0.3">
      <c r="A539" s="1" t="s">
        <v>1463</v>
      </c>
      <c r="B539" s="1" t="s">
        <v>230</v>
      </c>
      <c r="C539">
        <v>5</v>
      </c>
      <c r="D539" s="1" t="s">
        <v>12</v>
      </c>
      <c r="E539" s="1" t="s">
        <v>15</v>
      </c>
      <c r="F539" s="1" t="s">
        <v>103</v>
      </c>
      <c r="G539" s="1" t="s">
        <v>158</v>
      </c>
      <c r="H539" s="1" t="s">
        <v>86</v>
      </c>
      <c r="I539">
        <v>835</v>
      </c>
      <c r="J539">
        <v>4231</v>
      </c>
      <c r="K539">
        <v>5879</v>
      </c>
      <c r="L539">
        <v>3414</v>
      </c>
      <c r="M539">
        <v>14359</v>
      </c>
      <c r="N539" s="2">
        <v>45788</v>
      </c>
      <c r="O539" s="2">
        <v>45784</v>
      </c>
      <c r="P539" s="1" t="s">
        <v>136</v>
      </c>
      <c r="Q539" s="1" t="s">
        <v>16</v>
      </c>
      <c r="R539" s="1" t="s">
        <v>22</v>
      </c>
      <c r="S539">
        <v>759</v>
      </c>
      <c r="T539" s="1" t="s">
        <v>1464</v>
      </c>
    </row>
    <row r="540" spans="1:20" x14ac:dyDescent="0.3">
      <c r="A540" s="1" t="s">
        <v>1465</v>
      </c>
      <c r="B540" s="1" t="s">
        <v>895</v>
      </c>
      <c r="C540">
        <v>76</v>
      </c>
      <c r="D540" s="1" t="s">
        <v>23</v>
      </c>
      <c r="E540" s="1" t="s">
        <v>38</v>
      </c>
      <c r="F540" s="1" t="s">
        <v>84</v>
      </c>
      <c r="G540" s="1" t="s">
        <v>98</v>
      </c>
      <c r="H540" s="1" t="s">
        <v>199</v>
      </c>
      <c r="I540">
        <v>639</v>
      </c>
      <c r="J540">
        <v>3996</v>
      </c>
      <c r="K540">
        <v>2371</v>
      </c>
      <c r="L540">
        <v>12335</v>
      </c>
      <c r="M540">
        <v>19341</v>
      </c>
      <c r="N540" s="2">
        <v>45812</v>
      </c>
      <c r="O540" s="2">
        <v>45914</v>
      </c>
      <c r="P540" s="1" t="s">
        <v>110</v>
      </c>
      <c r="Q540" s="1" t="s">
        <v>21</v>
      </c>
      <c r="R540" s="1" t="s">
        <v>87</v>
      </c>
      <c r="S540">
        <v>521</v>
      </c>
      <c r="T540" s="1" t="s">
        <v>1466</v>
      </c>
    </row>
    <row r="541" spans="1:20" x14ac:dyDescent="0.3">
      <c r="A541" s="1" t="s">
        <v>1467</v>
      </c>
      <c r="B541" s="1" t="s">
        <v>1468</v>
      </c>
      <c r="C541">
        <v>82</v>
      </c>
      <c r="D541" s="1" t="s">
        <v>12</v>
      </c>
      <c r="E541" s="1" t="s">
        <v>33</v>
      </c>
      <c r="F541" s="1" t="s">
        <v>109</v>
      </c>
      <c r="G541" s="1" t="s">
        <v>158</v>
      </c>
      <c r="H541" s="1" t="s">
        <v>165</v>
      </c>
      <c r="I541">
        <v>729</v>
      </c>
      <c r="J541">
        <v>3760</v>
      </c>
      <c r="K541">
        <v>6026</v>
      </c>
      <c r="L541">
        <v>6047</v>
      </c>
      <c r="M541">
        <v>16562</v>
      </c>
      <c r="N541" s="2">
        <v>45661</v>
      </c>
      <c r="O541" s="2">
        <v>45744</v>
      </c>
      <c r="P541" s="1" t="s">
        <v>116</v>
      </c>
      <c r="Q541" s="1" t="s">
        <v>16</v>
      </c>
      <c r="R541" s="1" t="s">
        <v>87</v>
      </c>
      <c r="S541">
        <v>527</v>
      </c>
      <c r="T541" s="1" t="s">
        <v>1469</v>
      </c>
    </row>
    <row r="542" spans="1:20" x14ac:dyDescent="0.3">
      <c r="A542" s="1" t="s">
        <v>1470</v>
      </c>
      <c r="B542" s="1" t="s">
        <v>46</v>
      </c>
      <c r="C542">
        <v>56</v>
      </c>
      <c r="D542" s="1" t="s">
        <v>23</v>
      </c>
      <c r="E542" s="1" t="s">
        <v>27</v>
      </c>
      <c r="F542" s="1" t="s">
        <v>109</v>
      </c>
      <c r="G542" s="1" t="s">
        <v>98</v>
      </c>
      <c r="H542" s="1" t="s">
        <v>99</v>
      </c>
      <c r="I542">
        <v>681</v>
      </c>
      <c r="J542">
        <v>1600</v>
      </c>
      <c r="K542">
        <v>1922</v>
      </c>
      <c r="L542">
        <v>8970</v>
      </c>
      <c r="M542">
        <v>13173</v>
      </c>
      <c r="N542" s="2">
        <v>45751</v>
      </c>
      <c r="O542" s="2">
        <v>45915</v>
      </c>
      <c r="P542" s="1" t="s">
        <v>35</v>
      </c>
      <c r="Q542" s="1" t="s">
        <v>31</v>
      </c>
      <c r="R542" s="1" t="s">
        <v>22</v>
      </c>
      <c r="S542">
        <v>305</v>
      </c>
      <c r="T542" s="1" t="s">
        <v>1471</v>
      </c>
    </row>
    <row r="543" spans="1:20" x14ac:dyDescent="0.3">
      <c r="A543" s="1" t="s">
        <v>1472</v>
      </c>
      <c r="B543" s="1" t="s">
        <v>359</v>
      </c>
      <c r="C543">
        <v>34</v>
      </c>
      <c r="D543" s="1" t="s">
        <v>12</v>
      </c>
      <c r="E543" s="1" t="s">
        <v>24</v>
      </c>
      <c r="F543" s="1" t="s">
        <v>135</v>
      </c>
      <c r="G543" s="1" t="s">
        <v>91</v>
      </c>
      <c r="H543" s="1" t="s">
        <v>13</v>
      </c>
      <c r="I543">
        <v>640</v>
      </c>
      <c r="J543">
        <v>1153</v>
      </c>
      <c r="K543">
        <v>2701</v>
      </c>
      <c r="L543">
        <v>2404</v>
      </c>
      <c r="M543">
        <v>6898</v>
      </c>
      <c r="N543" s="2">
        <v>45851</v>
      </c>
      <c r="O543" s="2">
        <v>45721</v>
      </c>
      <c r="P543" s="1" t="s">
        <v>14</v>
      </c>
      <c r="Q543" s="1" t="s">
        <v>16</v>
      </c>
      <c r="R543" s="1" t="s">
        <v>87</v>
      </c>
      <c r="S543">
        <v>340</v>
      </c>
      <c r="T543" s="1" t="s">
        <v>1473</v>
      </c>
    </row>
    <row r="544" spans="1:20" x14ac:dyDescent="0.3">
      <c r="A544" s="1" t="s">
        <v>1474</v>
      </c>
      <c r="B544" s="1" t="s">
        <v>11</v>
      </c>
      <c r="C544">
        <v>2</v>
      </c>
      <c r="D544" s="1" t="s">
        <v>23</v>
      </c>
      <c r="E544" s="1" t="s">
        <v>36</v>
      </c>
      <c r="F544" s="1" t="s">
        <v>124</v>
      </c>
      <c r="G544" s="1" t="s">
        <v>125</v>
      </c>
      <c r="H544" s="1" t="s">
        <v>18</v>
      </c>
      <c r="I544">
        <v>1492</v>
      </c>
      <c r="J544">
        <v>842</v>
      </c>
      <c r="K544">
        <v>1093</v>
      </c>
      <c r="L544">
        <v>4458</v>
      </c>
      <c r="M544">
        <v>7885</v>
      </c>
      <c r="N544" s="2">
        <v>45925</v>
      </c>
      <c r="O544" s="2">
        <v>45661</v>
      </c>
      <c r="P544" s="1" t="s">
        <v>93</v>
      </c>
      <c r="Q544" s="1" t="s">
        <v>9</v>
      </c>
      <c r="R544" s="1" t="s">
        <v>17</v>
      </c>
      <c r="S544">
        <v>718</v>
      </c>
      <c r="T544" s="1" t="s">
        <v>1475</v>
      </c>
    </row>
    <row r="545" spans="1:20" x14ac:dyDescent="0.3">
      <c r="A545" s="1" t="s">
        <v>1476</v>
      </c>
      <c r="B545" s="1" t="s">
        <v>233</v>
      </c>
      <c r="C545">
        <v>44</v>
      </c>
      <c r="D545" s="1" t="s">
        <v>12</v>
      </c>
      <c r="E545" s="1" t="s">
        <v>33</v>
      </c>
      <c r="F545" s="1" t="s">
        <v>84</v>
      </c>
      <c r="G545" s="1" t="s">
        <v>125</v>
      </c>
      <c r="H545" s="1" t="s">
        <v>99</v>
      </c>
      <c r="I545">
        <v>1116</v>
      </c>
      <c r="J545">
        <v>3600</v>
      </c>
      <c r="K545">
        <v>5303</v>
      </c>
      <c r="L545">
        <v>1937</v>
      </c>
      <c r="M545">
        <v>11956</v>
      </c>
      <c r="N545" s="2">
        <v>45840</v>
      </c>
      <c r="O545" s="2">
        <v>45827</v>
      </c>
      <c r="P545" s="1" t="s">
        <v>35</v>
      </c>
      <c r="Q545" s="1" t="s">
        <v>9</v>
      </c>
      <c r="R545" s="1" t="s">
        <v>87</v>
      </c>
      <c r="S545">
        <v>955</v>
      </c>
      <c r="T545" s="1" t="s">
        <v>1477</v>
      </c>
    </row>
    <row r="546" spans="1:20" x14ac:dyDescent="0.3">
      <c r="A546" s="1" t="s">
        <v>1478</v>
      </c>
      <c r="B546" s="1" t="s">
        <v>1171</v>
      </c>
      <c r="C546">
        <v>78</v>
      </c>
      <c r="D546" s="1" t="s">
        <v>23</v>
      </c>
      <c r="E546" s="1" t="s">
        <v>38</v>
      </c>
      <c r="F546" s="1" t="s">
        <v>124</v>
      </c>
      <c r="G546" s="1" t="s">
        <v>104</v>
      </c>
      <c r="H546" s="1" t="s">
        <v>105</v>
      </c>
      <c r="I546">
        <v>1054</v>
      </c>
      <c r="J546">
        <v>4202</v>
      </c>
      <c r="K546">
        <v>5365</v>
      </c>
      <c r="L546">
        <v>12242</v>
      </c>
      <c r="M546">
        <v>22863</v>
      </c>
      <c r="N546" s="2">
        <v>45995</v>
      </c>
      <c r="O546" s="2">
        <v>45901</v>
      </c>
      <c r="P546" s="1" t="s">
        <v>110</v>
      </c>
      <c r="Q546" s="1" t="s">
        <v>31</v>
      </c>
      <c r="R546" s="1" t="s">
        <v>22</v>
      </c>
      <c r="S546">
        <v>753</v>
      </c>
      <c r="T546" s="1" t="s">
        <v>1479</v>
      </c>
    </row>
    <row r="547" spans="1:20" x14ac:dyDescent="0.3">
      <c r="A547" s="1" t="s">
        <v>1480</v>
      </c>
      <c r="B547" s="1" t="s">
        <v>57</v>
      </c>
      <c r="C547">
        <v>82</v>
      </c>
      <c r="D547" s="1" t="s">
        <v>12</v>
      </c>
      <c r="E547" s="1" t="s">
        <v>20</v>
      </c>
      <c r="F547" s="1" t="s">
        <v>103</v>
      </c>
      <c r="G547" s="1" t="s">
        <v>125</v>
      </c>
      <c r="H547" s="1" t="s">
        <v>186</v>
      </c>
      <c r="I547">
        <v>1209</v>
      </c>
      <c r="J547">
        <v>2413</v>
      </c>
      <c r="K547">
        <v>5270</v>
      </c>
      <c r="L547">
        <v>8938</v>
      </c>
      <c r="M547">
        <v>17830</v>
      </c>
      <c r="N547" s="2">
        <v>45862</v>
      </c>
      <c r="O547" s="2">
        <v>45971</v>
      </c>
      <c r="P547" s="1" t="s">
        <v>35</v>
      </c>
      <c r="Q547" s="1" t="s">
        <v>9</v>
      </c>
      <c r="R547" s="1" t="s">
        <v>87</v>
      </c>
      <c r="S547">
        <v>977</v>
      </c>
      <c r="T547" s="1" t="s">
        <v>1481</v>
      </c>
    </row>
    <row r="548" spans="1:20" x14ac:dyDescent="0.3">
      <c r="A548" s="1" t="s">
        <v>1482</v>
      </c>
      <c r="B548" s="1" t="s">
        <v>183</v>
      </c>
      <c r="C548">
        <v>38</v>
      </c>
      <c r="D548" s="1" t="s">
        <v>23</v>
      </c>
      <c r="E548" s="1" t="s">
        <v>27</v>
      </c>
      <c r="F548" s="1" t="s">
        <v>109</v>
      </c>
      <c r="G548" s="1" t="s">
        <v>85</v>
      </c>
      <c r="H548" s="1" t="s">
        <v>29</v>
      </c>
      <c r="I548">
        <v>561</v>
      </c>
      <c r="J548">
        <v>4579</v>
      </c>
      <c r="K548">
        <v>6827</v>
      </c>
      <c r="L548">
        <v>2426</v>
      </c>
      <c r="M548">
        <v>14393</v>
      </c>
      <c r="N548" s="2">
        <v>45812</v>
      </c>
      <c r="O548" s="2">
        <v>46002</v>
      </c>
      <c r="P548" s="1" t="s">
        <v>110</v>
      </c>
      <c r="Q548" s="1" t="s">
        <v>9</v>
      </c>
      <c r="R548" s="1" t="s">
        <v>22</v>
      </c>
      <c r="S548">
        <v>593</v>
      </c>
      <c r="T548" s="1" t="s">
        <v>1483</v>
      </c>
    </row>
    <row r="549" spans="1:20" x14ac:dyDescent="0.3">
      <c r="A549" s="1" t="s">
        <v>1484</v>
      </c>
      <c r="B549" s="1" t="s">
        <v>1064</v>
      </c>
      <c r="C549">
        <v>32</v>
      </c>
      <c r="D549" s="1" t="s">
        <v>23</v>
      </c>
      <c r="E549" s="1" t="s">
        <v>36</v>
      </c>
      <c r="F549" s="1" t="s">
        <v>109</v>
      </c>
      <c r="G549" s="1" t="s">
        <v>85</v>
      </c>
      <c r="H549" s="1" t="s">
        <v>37</v>
      </c>
      <c r="I549">
        <v>516</v>
      </c>
      <c r="J549">
        <v>4062</v>
      </c>
      <c r="K549">
        <v>6163</v>
      </c>
      <c r="L549">
        <v>1478</v>
      </c>
      <c r="M549">
        <v>12219</v>
      </c>
      <c r="N549" s="2">
        <v>45740</v>
      </c>
      <c r="O549" s="2">
        <v>45825</v>
      </c>
      <c r="P549" s="1" t="s">
        <v>93</v>
      </c>
      <c r="Q549" s="1" t="s">
        <v>21</v>
      </c>
      <c r="R549" s="1" t="s">
        <v>87</v>
      </c>
      <c r="S549">
        <v>587</v>
      </c>
      <c r="T549" s="1" t="s">
        <v>1485</v>
      </c>
    </row>
    <row r="550" spans="1:20" x14ac:dyDescent="0.3">
      <c r="A550" s="1" t="s">
        <v>1486</v>
      </c>
      <c r="B550" s="1" t="s">
        <v>429</v>
      </c>
      <c r="C550">
        <v>69</v>
      </c>
      <c r="D550" s="1" t="s">
        <v>12</v>
      </c>
      <c r="E550" s="1" t="s">
        <v>38</v>
      </c>
      <c r="F550" s="1" t="s">
        <v>114</v>
      </c>
      <c r="G550" s="1" t="s">
        <v>176</v>
      </c>
      <c r="H550" s="1" t="s">
        <v>186</v>
      </c>
      <c r="I550">
        <v>758</v>
      </c>
      <c r="J550">
        <v>1029</v>
      </c>
      <c r="K550">
        <v>5575</v>
      </c>
      <c r="L550">
        <v>6623</v>
      </c>
      <c r="M550">
        <v>13985</v>
      </c>
      <c r="N550" s="2">
        <v>45851</v>
      </c>
      <c r="O550" s="2">
        <v>45853</v>
      </c>
      <c r="P550" s="1" t="s">
        <v>110</v>
      </c>
      <c r="Q550" s="1" t="s">
        <v>31</v>
      </c>
      <c r="R550" s="1" t="s">
        <v>22</v>
      </c>
      <c r="S550">
        <v>365</v>
      </c>
      <c r="T550" s="1" t="s">
        <v>1487</v>
      </c>
    </row>
    <row r="551" spans="1:20" x14ac:dyDescent="0.3">
      <c r="A551" s="1" t="s">
        <v>1488</v>
      </c>
      <c r="B551" s="1" t="s">
        <v>668</v>
      </c>
      <c r="C551">
        <v>15</v>
      </c>
      <c r="D551" s="1" t="s">
        <v>23</v>
      </c>
      <c r="E551" s="1" t="s">
        <v>33</v>
      </c>
      <c r="F551" s="1" t="s">
        <v>97</v>
      </c>
      <c r="G551" s="1" t="s">
        <v>91</v>
      </c>
      <c r="H551" s="1" t="s">
        <v>115</v>
      </c>
      <c r="I551">
        <v>537</v>
      </c>
      <c r="J551">
        <v>3512</v>
      </c>
      <c r="K551">
        <v>1343</v>
      </c>
      <c r="L551">
        <v>14980</v>
      </c>
      <c r="M551">
        <v>20372</v>
      </c>
      <c r="N551" s="2">
        <v>45818</v>
      </c>
      <c r="O551" s="2">
        <v>45852</v>
      </c>
      <c r="P551" s="1" t="s">
        <v>136</v>
      </c>
      <c r="Q551" s="1" t="s">
        <v>16</v>
      </c>
      <c r="R551" s="1" t="s">
        <v>87</v>
      </c>
      <c r="S551">
        <v>648</v>
      </c>
      <c r="T551" s="1" t="s">
        <v>1489</v>
      </c>
    </row>
    <row r="552" spans="1:20" x14ac:dyDescent="0.3">
      <c r="A552" s="1" t="s">
        <v>1490</v>
      </c>
      <c r="B552" s="1" t="s">
        <v>208</v>
      </c>
      <c r="C552">
        <v>41</v>
      </c>
      <c r="D552" s="1" t="s">
        <v>12</v>
      </c>
      <c r="E552" s="1" t="s">
        <v>36</v>
      </c>
      <c r="F552" s="1" t="s">
        <v>109</v>
      </c>
      <c r="G552" s="1" t="s">
        <v>176</v>
      </c>
      <c r="H552" s="1" t="s">
        <v>105</v>
      </c>
      <c r="I552">
        <v>518</v>
      </c>
      <c r="J552">
        <v>3738</v>
      </c>
      <c r="K552">
        <v>375</v>
      </c>
      <c r="L552">
        <v>9819</v>
      </c>
      <c r="M552">
        <v>14450</v>
      </c>
      <c r="N552" s="2">
        <v>45893</v>
      </c>
      <c r="O552" s="2">
        <v>45819</v>
      </c>
      <c r="P552" s="1" t="s">
        <v>25</v>
      </c>
      <c r="Q552" s="1" t="s">
        <v>31</v>
      </c>
      <c r="R552" s="1" t="s">
        <v>17</v>
      </c>
      <c r="S552">
        <v>796</v>
      </c>
      <c r="T552" s="1" t="s">
        <v>1491</v>
      </c>
    </row>
    <row r="553" spans="1:20" x14ac:dyDescent="0.3">
      <c r="A553" s="1" t="s">
        <v>1492</v>
      </c>
      <c r="B553" s="1" t="s">
        <v>678</v>
      </c>
      <c r="C553">
        <v>37</v>
      </c>
      <c r="D553" s="1" t="s">
        <v>23</v>
      </c>
      <c r="E553" s="1" t="s">
        <v>27</v>
      </c>
      <c r="F553" s="1" t="s">
        <v>103</v>
      </c>
      <c r="G553" s="1" t="s">
        <v>104</v>
      </c>
      <c r="H553" s="1" t="s">
        <v>186</v>
      </c>
      <c r="I553">
        <v>932</v>
      </c>
      <c r="J553">
        <v>4615</v>
      </c>
      <c r="K553">
        <v>5941</v>
      </c>
      <c r="L553">
        <v>3022</v>
      </c>
      <c r="M553">
        <v>14510</v>
      </c>
      <c r="N553" s="2">
        <v>45798</v>
      </c>
      <c r="O553" s="2">
        <v>46019</v>
      </c>
      <c r="P553" s="1" t="s">
        <v>136</v>
      </c>
      <c r="Q553" s="1" t="s">
        <v>31</v>
      </c>
      <c r="R553" s="1" t="s">
        <v>17</v>
      </c>
      <c r="S553">
        <v>398</v>
      </c>
      <c r="T553" s="1" t="s">
        <v>1493</v>
      </c>
    </row>
    <row r="554" spans="1:20" x14ac:dyDescent="0.3">
      <c r="A554" s="1" t="s">
        <v>1494</v>
      </c>
      <c r="B554" s="1" t="s">
        <v>1276</v>
      </c>
      <c r="C554">
        <v>43</v>
      </c>
      <c r="D554" s="1" t="s">
        <v>23</v>
      </c>
      <c r="E554" s="1" t="s">
        <v>33</v>
      </c>
      <c r="F554" s="1" t="s">
        <v>84</v>
      </c>
      <c r="G554" s="1" t="s">
        <v>98</v>
      </c>
      <c r="H554" s="1" t="s">
        <v>105</v>
      </c>
      <c r="I554">
        <v>407</v>
      </c>
      <c r="J554">
        <v>1966</v>
      </c>
      <c r="K554">
        <v>7318</v>
      </c>
      <c r="L554">
        <v>8987</v>
      </c>
      <c r="M554">
        <v>18678</v>
      </c>
      <c r="N554" s="2">
        <v>45858</v>
      </c>
      <c r="O554" s="2">
        <v>45811</v>
      </c>
      <c r="P554" s="1" t="s">
        <v>25</v>
      </c>
      <c r="Q554" s="1" t="s">
        <v>9</v>
      </c>
      <c r="R554" s="1" t="s">
        <v>17</v>
      </c>
      <c r="S554">
        <v>532</v>
      </c>
      <c r="T554" s="1" t="s">
        <v>1495</v>
      </c>
    </row>
    <row r="555" spans="1:20" x14ac:dyDescent="0.3">
      <c r="A555" s="1" t="s">
        <v>1496</v>
      </c>
      <c r="B555" s="1" t="s">
        <v>602</v>
      </c>
      <c r="C555">
        <v>51</v>
      </c>
      <c r="D555" s="1" t="s">
        <v>12</v>
      </c>
      <c r="E555" s="1" t="s">
        <v>20</v>
      </c>
      <c r="F555" s="1" t="s">
        <v>114</v>
      </c>
      <c r="G555" s="1" t="s">
        <v>176</v>
      </c>
      <c r="H555" s="1" t="s">
        <v>26</v>
      </c>
      <c r="I555">
        <v>878</v>
      </c>
      <c r="J555">
        <v>2098</v>
      </c>
      <c r="K555">
        <v>6043</v>
      </c>
      <c r="L555">
        <v>9978</v>
      </c>
      <c r="M555">
        <v>18997</v>
      </c>
      <c r="N555" s="2">
        <v>45859</v>
      </c>
      <c r="O555" s="2">
        <v>45707</v>
      </c>
      <c r="P555" s="1" t="s">
        <v>25</v>
      </c>
      <c r="Q555" s="1" t="s">
        <v>16</v>
      </c>
      <c r="R555" s="1" t="s">
        <v>87</v>
      </c>
      <c r="S555">
        <v>411</v>
      </c>
      <c r="T555" s="1" t="s">
        <v>1497</v>
      </c>
    </row>
    <row r="556" spans="1:20" x14ac:dyDescent="0.3">
      <c r="A556" s="1" t="s">
        <v>1498</v>
      </c>
      <c r="B556" s="1" t="s">
        <v>758</v>
      </c>
      <c r="C556">
        <v>18</v>
      </c>
      <c r="D556" s="1" t="s">
        <v>12</v>
      </c>
      <c r="E556" s="1" t="s">
        <v>20</v>
      </c>
      <c r="F556" s="1" t="s">
        <v>135</v>
      </c>
      <c r="G556" s="1" t="s">
        <v>104</v>
      </c>
      <c r="H556" s="1" t="s">
        <v>26</v>
      </c>
      <c r="I556">
        <v>596</v>
      </c>
      <c r="J556">
        <v>2218</v>
      </c>
      <c r="K556">
        <v>2086</v>
      </c>
      <c r="L556">
        <v>14178</v>
      </c>
      <c r="M556">
        <v>19078</v>
      </c>
      <c r="N556" s="2">
        <v>45758</v>
      </c>
      <c r="O556" s="2">
        <v>45991</v>
      </c>
      <c r="P556" s="1" t="s">
        <v>34</v>
      </c>
      <c r="Q556" s="1" t="s">
        <v>16</v>
      </c>
      <c r="R556" s="1" t="s">
        <v>87</v>
      </c>
      <c r="S556">
        <v>904</v>
      </c>
      <c r="T556" s="1" t="s">
        <v>1499</v>
      </c>
    </row>
    <row r="557" spans="1:20" x14ac:dyDescent="0.3">
      <c r="A557" s="1" t="s">
        <v>1500</v>
      </c>
      <c r="B557" s="1" t="s">
        <v>1501</v>
      </c>
      <c r="C557">
        <v>55</v>
      </c>
      <c r="D557" s="1" t="s">
        <v>23</v>
      </c>
      <c r="E557" s="1" t="s">
        <v>38</v>
      </c>
      <c r="F557" s="1" t="s">
        <v>103</v>
      </c>
      <c r="G557" s="1" t="s">
        <v>85</v>
      </c>
      <c r="H557" s="1" t="s">
        <v>13</v>
      </c>
      <c r="I557">
        <v>1028</v>
      </c>
      <c r="J557">
        <v>4381</v>
      </c>
      <c r="K557">
        <v>1771</v>
      </c>
      <c r="L557">
        <v>1859</v>
      </c>
      <c r="M557">
        <v>9039</v>
      </c>
      <c r="N557" s="2">
        <v>45718</v>
      </c>
      <c r="O557" s="2">
        <v>45921</v>
      </c>
      <c r="P557" s="1" t="s">
        <v>177</v>
      </c>
      <c r="Q557" s="1" t="s">
        <v>9</v>
      </c>
      <c r="R557" s="1" t="s">
        <v>22</v>
      </c>
      <c r="S557">
        <v>134</v>
      </c>
      <c r="T557" s="1" t="s">
        <v>1502</v>
      </c>
    </row>
    <row r="558" spans="1:20" x14ac:dyDescent="0.3">
      <c r="A558" s="1" t="s">
        <v>1503</v>
      </c>
      <c r="B558" s="1" t="s">
        <v>906</v>
      </c>
      <c r="C558">
        <v>63</v>
      </c>
      <c r="D558" s="1" t="s">
        <v>12</v>
      </c>
      <c r="E558" s="1" t="s">
        <v>27</v>
      </c>
      <c r="F558" s="1" t="s">
        <v>109</v>
      </c>
      <c r="G558" s="1" t="s">
        <v>91</v>
      </c>
      <c r="H558" s="1" t="s">
        <v>155</v>
      </c>
      <c r="I558">
        <v>483</v>
      </c>
      <c r="J558">
        <v>4298</v>
      </c>
      <c r="K558">
        <v>7385</v>
      </c>
      <c r="L558">
        <v>14405</v>
      </c>
      <c r="M558">
        <v>26571</v>
      </c>
      <c r="N558" s="2">
        <v>45990</v>
      </c>
      <c r="O558" s="2">
        <v>45853</v>
      </c>
      <c r="P558" s="1" t="s">
        <v>14</v>
      </c>
      <c r="Q558" s="1" t="s">
        <v>16</v>
      </c>
      <c r="R558" s="1" t="s">
        <v>22</v>
      </c>
      <c r="S558">
        <v>219</v>
      </c>
      <c r="T558" s="1" t="s">
        <v>1504</v>
      </c>
    </row>
    <row r="559" spans="1:20" x14ac:dyDescent="0.3">
      <c r="A559" s="1" t="s">
        <v>1505</v>
      </c>
      <c r="B559" s="1" t="s">
        <v>1506</v>
      </c>
      <c r="C559">
        <v>83</v>
      </c>
      <c r="D559" s="1" t="s">
        <v>23</v>
      </c>
      <c r="E559" s="1" t="s">
        <v>38</v>
      </c>
      <c r="F559" s="1" t="s">
        <v>103</v>
      </c>
      <c r="G559" s="1" t="s">
        <v>91</v>
      </c>
      <c r="H559" s="1" t="s">
        <v>215</v>
      </c>
      <c r="I559">
        <v>860</v>
      </c>
      <c r="J559">
        <v>1274</v>
      </c>
      <c r="K559">
        <v>6807</v>
      </c>
      <c r="L559">
        <v>10713</v>
      </c>
      <c r="M559">
        <v>19654</v>
      </c>
      <c r="N559" s="2">
        <v>45750</v>
      </c>
      <c r="O559" s="2">
        <v>45854</v>
      </c>
      <c r="P559" s="1" t="s">
        <v>116</v>
      </c>
      <c r="Q559" s="1" t="s">
        <v>31</v>
      </c>
      <c r="R559" s="1" t="s">
        <v>22</v>
      </c>
      <c r="S559">
        <v>433</v>
      </c>
      <c r="T559" s="1" t="s">
        <v>1507</v>
      </c>
    </row>
    <row r="560" spans="1:20" x14ac:dyDescent="0.3">
      <c r="A560" s="1" t="s">
        <v>1508</v>
      </c>
      <c r="B560" s="1" t="s">
        <v>1031</v>
      </c>
      <c r="C560">
        <v>52</v>
      </c>
      <c r="D560" s="1" t="s">
        <v>23</v>
      </c>
      <c r="E560" s="1" t="s">
        <v>40</v>
      </c>
      <c r="F560" s="1" t="s">
        <v>120</v>
      </c>
      <c r="G560" s="1" t="s">
        <v>104</v>
      </c>
      <c r="H560" s="1" t="s">
        <v>215</v>
      </c>
      <c r="I560">
        <v>430</v>
      </c>
      <c r="J560">
        <v>4750</v>
      </c>
      <c r="K560">
        <v>7157</v>
      </c>
      <c r="L560">
        <v>10580</v>
      </c>
      <c r="M560">
        <v>22917</v>
      </c>
      <c r="N560" s="2">
        <v>45933</v>
      </c>
      <c r="O560" s="2">
        <v>45991</v>
      </c>
      <c r="P560" s="1" t="s">
        <v>35</v>
      </c>
      <c r="Q560" s="1" t="s">
        <v>16</v>
      </c>
      <c r="R560" s="1" t="s">
        <v>22</v>
      </c>
      <c r="S560">
        <v>982</v>
      </c>
      <c r="T560" s="1" t="s">
        <v>1509</v>
      </c>
    </row>
    <row r="561" spans="1:20" x14ac:dyDescent="0.3">
      <c r="A561" s="1" t="s">
        <v>1510</v>
      </c>
      <c r="B561" s="1" t="s">
        <v>1356</v>
      </c>
      <c r="C561">
        <v>72</v>
      </c>
      <c r="D561" s="1" t="s">
        <v>12</v>
      </c>
      <c r="E561" s="1" t="s">
        <v>36</v>
      </c>
      <c r="F561" s="1" t="s">
        <v>97</v>
      </c>
      <c r="G561" s="1" t="s">
        <v>176</v>
      </c>
      <c r="H561" s="1" t="s">
        <v>13</v>
      </c>
      <c r="I561">
        <v>380</v>
      </c>
      <c r="J561">
        <v>1555</v>
      </c>
      <c r="K561">
        <v>5011</v>
      </c>
      <c r="L561">
        <v>4378</v>
      </c>
      <c r="M561">
        <v>11324</v>
      </c>
      <c r="N561" s="2">
        <v>45992</v>
      </c>
      <c r="O561" s="2">
        <v>45740</v>
      </c>
      <c r="P561" s="1" t="s">
        <v>35</v>
      </c>
      <c r="Q561" s="1" t="s">
        <v>16</v>
      </c>
      <c r="R561" s="1" t="s">
        <v>22</v>
      </c>
      <c r="S561">
        <v>227</v>
      </c>
      <c r="T561" s="1" t="s">
        <v>1511</v>
      </c>
    </row>
    <row r="562" spans="1:20" x14ac:dyDescent="0.3">
      <c r="A562" s="1" t="s">
        <v>1512</v>
      </c>
      <c r="B562" s="1" t="s">
        <v>463</v>
      </c>
      <c r="C562">
        <v>70</v>
      </c>
      <c r="D562" s="1" t="s">
        <v>23</v>
      </c>
      <c r="E562" s="1" t="s">
        <v>27</v>
      </c>
      <c r="F562" s="1" t="s">
        <v>120</v>
      </c>
      <c r="G562" s="1" t="s">
        <v>85</v>
      </c>
      <c r="H562" s="1" t="s">
        <v>18</v>
      </c>
      <c r="I562">
        <v>808</v>
      </c>
      <c r="J562">
        <v>2962</v>
      </c>
      <c r="K562">
        <v>678</v>
      </c>
      <c r="L562">
        <v>9510</v>
      </c>
      <c r="M562">
        <v>13958</v>
      </c>
      <c r="N562" s="2">
        <v>45808</v>
      </c>
      <c r="O562" s="2">
        <v>45995</v>
      </c>
      <c r="P562" s="1" t="s">
        <v>110</v>
      </c>
      <c r="Q562" s="1" t="s">
        <v>9</v>
      </c>
      <c r="R562" s="1" t="s">
        <v>87</v>
      </c>
      <c r="S562">
        <v>420</v>
      </c>
      <c r="T562" s="1" t="s">
        <v>1513</v>
      </c>
    </row>
    <row r="563" spans="1:20" x14ac:dyDescent="0.3">
      <c r="A563" s="1" t="s">
        <v>1514</v>
      </c>
      <c r="B563" s="1" t="s">
        <v>1028</v>
      </c>
      <c r="C563">
        <v>69</v>
      </c>
      <c r="D563" s="1" t="s">
        <v>23</v>
      </c>
      <c r="E563" s="1" t="s">
        <v>40</v>
      </c>
      <c r="F563" s="1" t="s">
        <v>114</v>
      </c>
      <c r="G563" s="1" t="s">
        <v>98</v>
      </c>
      <c r="H563" s="1" t="s">
        <v>29</v>
      </c>
      <c r="I563">
        <v>785</v>
      </c>
      <c r="J563">
        <v>800</v>
      </c>
      <c r="K563">
        <v>1840</v>
      </c>
      <c r="L563">
        <v>3321</v>
      </c>
      <c r="M563">
        <v>6746</v>
      </c>
      <c r="N563" s="2">
        <v>45811</v>
      </c>
      <c r="O563" s="2">
        <v>45768</v>
      </c>
      <c r="P563" s="1" t="s">
        <v>25</v>
      </c>
      <c r="Q563" s="1" t="s">
        <v>21</v>
      </c>
      <c r="R563" s="1" t="s">
        <v>17</v>
      </c>
      <c r="S563">
        <v>231</v>
      </c>
      <c r="T563" s="1" t="s">
        <v>1515</v>
      </c>
    </row>
    <row r="564" spans="1:20" x14ac:dyDescent="0.3">
      <c r="A564" s="1" t="s">
        <v>1516</v>
      </c>
      <c r="B564" s="1" t="s">
        <v>1046</v>
      </c>
      <c r="C564">
        <v>10</v>
      </c>
      <c r="D564" s="1" t="s">
        <v>12</v>
      </c>
      <c r="E564" s="1" t="s">
        <v>15</v>
      </c>
      <c r="F564" s="1" t="s">
        <v>124</v>
      </c>
      <c r="G564" s="1" t="s">
        <v>98</v>
      </c>
      <c r="H564" s="1" t="s">
        <v>155</v>
      </c>
      <c r="I564">
        <v>634</v>
      </c>
      <c r="J564">
        <v>3777</v>
      </c>
      <c r="K564">
        <v>4036</v>
      </c>
      <c r="L564">
        <v>2364</v>
      </c>
      <c r="M564">
        <v>10811</v>
      </c>
      <c r="N564" s="2">
        <v>45788</v>
      </c>
      <c r="O564" s="2">
        <v>46004</v>
      </c>
      <c r="P564" s="1" t="s">
        <v>93</v>
      </c>
      <c r="Q564" s="1" t="s">
        <v>31</v>
      </c>
      <c r="R564" s="1" t="s">
        <v>22</v>
      </c>
      <c r="S564">
        <v>744</v>
      </c>
      <c r="T564" s="1" t="s">
        <v>1517</v>
      </c>
    </row>
    <row r="565" spans="1:20" x14ac:dyDescent="0.3">
      <c r="A565" s="1" t="s">
        <v>1518</v>
      </c>
      <c r="B565" s="1" t="s">
        <v>1519</v>
      </c>
      <c r="C565">
        <v>48</v>
      </c>
      <c r="D565" s="1" t="s">
        <v>23</v>
      </c>
      <c r="E565" s="1" t="s">
        <v>36</v>
      </c>
      <c r="F565" s="1" t="s">
        <v>120</v>
      </c>
      <c r="G565" s="1" t="s">
        <v>158</v>
      </c>
      <c r="H565" s="1" t="s">
        <v>86</v>
      </c>
      <c r="I565">
        <v>947</v>
      </c>
      <c r="J565">
        <v>4052</v>
      </c>
      <c r="K565">
        <v>3404</v>
      </c>
      <c r="L565">
        <v>1424</v>
      </c>
      <c r="M565">
        <v>9827</v>
      </c>
      <c r="N565" s="2">
        <v>45967</v>
      </c>
      <c r="O565" s="2">
        <v>45784</v>
      </c>
      <c r="P565" s="1" t="s">
        <v>35</v>
      </c>
      <c r="Q565" s="1" t="s">
        <v>16</v>
      </c>
      <c r="R565" s="1" t="s">
        <v>87</v>
      </c>
      <c r="S565">
        <v>661</v>
      </c>
      <c r="T565" s="1" t="s">
        <v>1520</v>
      </c>
    </row>
    <row r="566" spans="1:20" x14ac:dyDescent="0.3">
      <c r="A566" s="1" t="s">
        <v>1521</v>
      </c>
      <c r="B566" s="1" t="s">
        <v>259</v>
      </c>
      <c r="C566">
        <v>82</v>
      </c>
      <c r="D566" s="1" t="s">
        <v>23</v>
      </c>
      <c r="E566" s="1" t="s">
        <v>24</v>
      </c>
      <c r="F566" s="1" t="s">
        <v>97</v>
      </c>
      <c r="G566" s="1" t="s">
        <v>125</v>
      </c>
      <c r="H566" s="1" t="s">
        <v>186</v>
      </c>
      <c r="I566">
        <v>859</v>
      </c>
      <c r="J566">
        <v>1698</v>
      </c>
      <c r="K566">
        <v>7417</v>
      </c>
      <c r="L566">
        <v>14076</v>
      </c>
      <c r="M566">
        <v>24050</v>
      </c>
      <c r="N566" s="2">
        <v>45773</v>
      </c>
      <c r="O566" s="2">
        <v>45798</v>
      </c>
      <c r="P566" s="1" t="s">
        <v>34</v>
      </c>
      <c r="Q566" s="1" t="s">
        <v>31</v>
      </c>
      <c r="R566" s="1" t="s">
        <v>17</v>
      </c>
      <c r="S566">
        <v>207</v>
      </c>
      <c r="T566" s="1" t="s">
        <v>1522</v>
      </c>
    </row>
    <row r="567" spans="1:20" x14ac:dyDescent="0.3">
      <c r="A567" s="1" t="s">
        <v>1523</v>
      </c>
      <c r="B567" s="1" t="s">
        <v>1524</v>
      </c>
      <c r="C567">
        <v>68</v>
      </c>
      <c r="D567" s="1" t="s">
        <v>12</v>
      </c>
      <c r="E567" s="1" t="s">
        <v>24</v>
      </c>
      <c r="F567" s="1" t="s">
        <v>135</v>
      </c>
      <c r="G567" s="1" t="s">
        <v>158</v>
      </c>
      <c r="H567" s="1" t="s">
        <v>13</v>
      </c>
      <c r="I567">
        <v>1383</v>
      </c>
      <c r="J567">
        <v>3358</v>
      </c>
      <c r="K567">
        <v>6038</v>
      </c>
      <c r="L567">
        <v>10374</v>
      </c>
      <c r="M567">
        <v>21153</v>
      </c>
      <c r="N567" s="2">
        <v>45802</v>
      </c>
      <c r="O567" s="2">
        <v>45940</v>
      </c>
      <c r="P567" s="1" t="s">
        <v>14</v>
      </c>
      <c r="Q567" s="1" t="s">
        <v>31</v>
      </c>
      <c r="R567" s="1" t="s">
        <v>17</v>
      </c>
      <c r="S567">
        <v>869</v>
      </c>
      <c r="T567" s="1" t="s">
        <v>1525</v>
      </c>
    </row>
    <row r="568" spans="1:20" x14ac:dyDescent="0.3">
      <c r="A568" s="1" t="s">
        <v>1526</v>
      </c>
      <c r="B568" s="1" t="s">
        <v>1527</v>
      </c>
      <c r="C568">
        <v>69</v>
      </c>
      <c r="D568" s="1" t="s">
        <v>12</v>
      </c>
      <c r="E568" s="1" t="s">
        <v>15</v>
      </c>
      <c r="F568" s="1" t="s">
        <v>135</v>
      </c>
      <c r="G568" s="1" t="s">
        <v>125</v>
      </c>
      <c r="H568" s="1" t="s">
        <v>86</v>
      </c>
      <c r="I568">
        <v>830</v>
      </c>
      <c r="J568">
        <v>577</v>
      </c>
      <c r="K568">
        <v>5925</v>
      </c>
      <c r="L568">
        <v>9414</v>
      </c>
      <c r="M568">
        <v>16746</v>
      </c>
      <c r="N568" s="2">
        <v>45737</v>
      </c>
      <c r="O568" s="2">
        <v>45994</v>
      </c>
      <c r="P568" s="1" t="s">
        <v>25</v>
      </c>
      <c r="Q568" s="1" t="s">
        <v>21</v>
      </c>
      <c r="R568" s="1" t="s">
        <v>22</v>
      </c>
      <c r="S568">
        <v>842</v>
      </c>
      <c r="T568" s="1" t="s">
        <v>1528</v>
      </c>
    </row>
    <row r="569" spans="1:20" x14ac:dyDescent="0.3">
      <c r="A569" s="1" t="s">
        <v>1529</v>
      </c>
      <c r="B569" s="1" t="s">
        <v>289</v>
      </c>
      <c r="C569">
        <v>78</v>
      </c>
      <c r="D569" s="1" t="s">
        <v>12</v>
      </c>
      <c r="E569" s="1" t="s">
        <v>38</v>
      </c>
      <c r="F569" s="1" t="s">
        <v>135</v>
      </c>
      <c r="G569" s="1" t="s">
        <v>98</v>
      </c>
      <c r="H569" s="1" t="s">
        <v>145</v>
      </c>
      <c r="I569">
        <v>1198</v>
      </c>
      <c r="J569">
        <v>3399</v>
      </c>
      <c r="K569">
        <v>6841</v>
      </c>
      <c r="L569">
        <v>8678</v>
      </c>
      <c r="M569">
        <v>20116</v>
      </c>
      <c r="N569" s="2">
        <v>45915</v>
      </c>
      <c r="O569" s="2">
        <v>45804</v>
      </c>
      <c r="P569" s="1" t="s">
        <v>14</v>
      </c>
      <c r="Q569" s="1" t="s">
        <v>31</v>
      </c>
      <c r="R569" s="1" t="s">
        <v>17</v>
      </c>
      <c r="S569">
        <v>750</v>
      </c>
      <c r="T569" s="1" t="s">
        <v>1530</v>
      </c>
    </row>
    <row r="570" spans="1:20" x14ac:dyDescent="0.3">
      <c r="A570" s="1" t="s">
        <v>1531</v>
      </c>
      <c r="B570" s="1" t="s">
        <v>516</v>
      </c>
      <c r="C570">
        <v>53</v>
      </c>
      <c r="D570" s="1" t="s">
        <v>12</v>
      </c>
      <c r="E570" s="1" t="s">
        <v>36</v>
      </c>
      <c r="F570" s="1" t="s">
        <v>114</v>
      </c>
      <c r="G570" s="1" t="s">
        <v>98</v>
      </c>
      <c r="H570" s="1" t="s">
        <v>37</v>
      </c>
      <c r="I570">
        <v>457</v>
      </c>
      <c r="J570">
        <v>2466</v>
      </c>
      <c r="K570">
        <v>1067</v>
      </c>
      <c r="L570">
        <v>3705</v>
      </c>
      <c r="M570">
        <v>7695</v>
      </c>
      <c r="N570" s="2">
        <v>45952</v>
      </c>
      <c r="O570" s="2">
        <v>45687</v>
      </c>
      <c r="P570" s="1" t="s">
        <v>35</v>
      </c>
      <c r="Q570" s="1" t="s">
        <v>9</v>
      </c>
      <c r="R570" s="1" t="s">
        <v>22</v>
      </c>
      <c r="S570">
        <v>534</v>
      </c>
      <c r="T570" s="1" t="s">
        <v>1532</v>
      </c>
    </row>
    <row r="571" spans="1:20" x14ac:dyDescent="0.3">
      <c r="A571" s="1" t="s">
        <v>1533</v>
      </c>
      <c r="B571" s="1" t="s">
        <v>812</v>
      </c>
      <c r="C571">
        <v>62</v>
      </c>
      <c r="D571" s="1" t="s">
        <v>12</v>
      </c>
      <c r="E571" s="1" t="s">
        <v>20</v>
      </c>
      <c r="F571" s="1" t="s">
        <v>114</v>
      </c>
      <c r="G571" s="1" t="s">
        <v>85</v>
      </c>
      <c r="H571" s="1" t="s">
        <v>155</v>
      </c>
      <c r="I571">
        <v>328</v>
      </c>
      <c r="J571">
        <v>2057</v>
      </c>
      <c r="K571">
        <v>7761</v>
      </c>
      <c r="L571">
        <v>14621</v>
      </c>
      <c r="M571">
        <v>24767</v>
      </c>
      <c r="N571" s="2">
        <v>45661</v>
      </c>
      <c r="O571" s="2">
        <v>45875</v>
      </c>
      <c r="P571" s="1" t="s">
        <v>110</v>
      </c>
      <c r="Q571" s="1" t="s">
        <v>16</v>
      </c>
      <c r="R571" s="1" t="s">
        <v>87</v>
      </c>
      <c r="S571">
        <v>559</v>
      </c>
      <c r="T571" s="1" t="s">
        <v>1534</v>
      </c>
    </row>
    <row r="572" spans="1:20" x14ac:dyDescent="0.3">
      <c r="A572" s="1" t="s">
        <v>1535</v>
      </c>
      <c r="B572" s="1" t="s">
        <v>637</v>
      </c>
      <c r="C572">
        <v>23</v>
      </c>
      <c r="D572" s="1" t="s">
        <v>23</v>
      </c>
      <c r="E572" s="1" t="s">
        <v>20</v>
      </c>
      <c r="F572" s="1" t="s">
        <v>97</v>
      </c>
      <c r="G572" s="1" t="s">
        <v>158</v>
      </c>
      <c r="H572" s="1" t="s">
        <v>86</v>
      </c>
      <c r="I572">
        <v>1352</v>
      </c>
      <c r="J572">
        <v>3394</v>
      </c>
      <c r="K572">
        <v>717</v>
      </c>
      <c r="L572">
        <v>7925</v>
      </c>
      <c r="M572">
        <v>13388</v>
      </c>
      <c r="N572" s="2">
        <v>45911</v>
      </c>
      <c r="O572" s="2">
        <v>45852</v>
      </c>
      <c r="P572" s="1" t="s">
        <v>25</v>
      </c>
      <c r="Q572" s="1" t="s">
        <v>21</v>
      </c>
      <c r="R572" s="1" t="s">
        <v>87</v>
      </c>
      <c r="S572">
        <v>355</v>
      </c>
      <c r="T572" s="1" t="s">
        <v>1536</v>
      </c>
    </row>
    <row r="573" spans="1:20" x14ac:dyDescent="0.3">
      <c r="A573" s="1" t="s">
        <v>1537</v>
      </c>
      <c r="B573" s="1" t="s">
        <v>1538</v>
      </c>
      <c r="C573">
        <v>38</v>
      </c>
      <c r="D573" s="1" t="s">
        <v>12</v>
      </c>
      <c r="E573" s="1" t="s">
        <v>40</v>
      </c>
      <c r="F573" s="1" t="s">
        <v>135</v>
      </c>
      <c r="G573" s="1" t="s">
        <v>91</v>
      </c>
      <c r="H573" s="1" t="s">
        <v>26</v>
      </c>
      <c r="I573">
        <v>842</v>
      </c>
      <c r="J573">
        <v>2245</v>
      </c>
      <c r="K573">
        <v>318</v>
      </c>
      <c r="L573">
        <v>13091</v>
      </c>
      <c r="M573">
        <v>16496</v>
      </c>
      <c r="N573" s="2">
        <v>45981</v>
      </c>
      <c r="O573" s="2">
        <v>45949</v>
      </c>
      <c r="P573" s="1" t="s">
        <v>93</v>
      </c>
      <c r="Q573" s="1" t="s">
        <v>16</v>
      </c>
      <c r="R573" s="1" t="s">
        <v>17</v>
      </c>
      <c r="S573">
        <v>732</v>
      </c>
      <c r="T573" s="1" t="s">
        <v>1539</v>
      </c>
    </row>
    <row r="574" spans="1:20" x14ac:dyDescent="0.3">
      <c r="A574" s="1" t="s">
        <v>1540</v>
      </c>
      <c r="B574" s="1" t="s">
        <v>48</v>
      </c>
      <c r="C574">
        <v>46</v>
      </c>
      <c r="D574" s="1" t="s">
        <v>23</v>
      </c>
      <c r="E574" s="1" t="s">
        <v>20</v>
      </c>
      <c r="F574" s="1" t="s">
        <v>135</v>
      </c>
      <c r="G574" s="1" t="s">
        <v>158</v>
      </c>
      <c r="H574" s="1" t="s">
        <v>186</v>
      </c>
      <c r="I574">
        <v>911</v>
      </c>
      <c r="J574">
        <v>3399</v>
      </c>
      <c r="K574">
        <v>1177</v>
      </c>
      <c r="L574">
        <v>1084</v>
      </c>
      <c r="M574">
        <v>6571</v>
      </c>
      <c r="N574" s="2">
        <v>45837</v>
      </c>
      <c r="O574" s="2">
        <v>45753</v>
      </c>
      <c r="P574" s="1" t="s">
        <v>93</v>
      </c>
      <c r="Q574" s="1" t="s">
        <v>16</v>
      </c>
      <c r="R574" s="1" t="s">
        <v>17</v>
      </c>
      <c r="S574">
        <v>603</v>
      </c>
      <c r="T574" s="1" t="s">
        <v>1541</v>
      </c>
    </row>
    <row r="575" spans="1:20" x14ac:dyDescent="0.3">
      <c r="A575" s="1" t="s">
        <v>1542</v>
      </c>
      <c r="B575" s="1" t="s">
        <v>819</v>
      </c>
      <c r="C575">
        <v>66</v>
      </c>
      <c r="D575" s="1" t="s">
        <v>23</v>
      </c>
      <c r="E575" s="1" t="s">
        <v>27</v>
      </c>
      <c r="F575" s="1" t="s">
        <v>120</v>
      </c>
      <c r="G575" s="1" t="s">
        <v>125</v>
      </c>
      <c r="H575" s="1" t="s">
        <v>13</v>
      </c>
      <c r="I575">
        <v>1298</v>
      </c>
      <c r="J575">
        <v>556</v>
      </c>
      <c r="K575">
        <v>1574</v>
      </c>
      <c r="L575">
        <v>13606</v>
      </c>
      <c r="M575">
        <v>17034</v>
      </c>
      <c r="N575" s="2">
        <v>45994</v>
      </c>
      <c r="O575" s="2">
        <v>45786</v>
      </c>
      <c r="P575" s="1" t="s">
        <v>19</v>
      </c>
      <c r="Q575" s="1" t="s">
        <v>21</v>
      </c>
      <c r="R575" s="1" t="s">
        <v>17</v>
      </c>
      <c r="S575">
        <v>473</v>
      </c>
      <c r="T575" s="1" t="s">
        <v>1543</v>
      </c>
    </row>
    <row r="576" spans="1:20" x14ac:dyDescent="0.3">
      <c r="A576" s="1" t="s">
        <v>1544</v>
      </c>
      <c r="B576" s="1" t="s">
        <v>1323</v>
      </c>
      <c r="C576">
        <v>35</v>
      </c>
      <c r="D576" s="1" t="s">
        <v>23</v>
      </c>
      <c r="E576" s="1" t="s">
        <v>40</v>
      </c>
      <c r="F576" s="1" t="s">
        <v>135</v>
      </c>
      <c r="G576" s="1" t="s">
        <v>158</v>
      </c>
      <c r="H576" s="1" t="s">
        <v>92</v>
      </c>
      <c r="I576">
        <v>631</v>
      </c>
      <c r="J576">
        <v>1645</v>
      </c>
      <c r="K576">
        <v>3197</v>
      </c>
      <c r="L576">
        <v>13240</v>
      </c>
      <c r="M576">
        <v>18713</v>
      </c>
      <c r="N576" s="2">
        <v>45880</v>
      </c>
      <c r="O576" s="2">
        <v>45660</v>
      </c>
      <c r="P576" s="1" t="s">
        <v>177</v>
      </c>
      <c r="Q576" s="1" t="s">
        <v>31</v>
      </c>
      <c r="R576" s="1" t="s">
        <v>17</v>
      </c>
      <c r="S576">
        <v>141</v>
      </c>
      <c r="T576" s="1" t="s">
        <v>1545</v>
      </c>
    </row>
    <row r="577" spans="1:20" x14ac:dyDescent="0.3">
      <c r="A577" s="1" t="s">
        <v>1546</v>
      </c>
      <c r="B577" s="1" t="s">
        <v>208</v>
      </c>
      <c r="C577">
        <v>43</v>
      </c>
      <c r="D577" s="1" t="s">
        <v>23</v>
      </c>
      <c r="E577" s="1" t="s">
        <v>15</v>
      </c>
      <c r="F577" s="1" t="s">
        <v>109</v>
      </c>
      <c r="G577" s="1" t="s">
        <v>91</v>
      </c>
      <c r="H577" s="1" t="s">
        <v>115</v>
      </c>
      <c r="I577">
        <v>1281</v>
      </c>
      <c r="J577">
        <v>2677</v>
      </c>
      <c r="K577">
        <v>1273</v>
      </c>
      <c r="L577">
        <v>7899</v>
      </c>
      <c r="M577">
        <v>13130</v>
      </c>
      <c r="N577" s="2">
        <v>45908</v>
      </c>
      <c r="O577" s="2">
        <v>45939</v>
      </c>
      <c r="P577" s="1" t="s">
        <v>116</v>
      </c>
      <c r="Q577" s="1" t="s">
        <v>9</v>
      </c>
      <c r="R577" s="1" t="s">
        <v>87</v>
      </c>
      <c r="S577">
        <v>843</v>
      </c>
      <c r="T577" s="1" t="s">
        <v>1547</v>
      </c>
    </row>
    <row r="578" spans="1:20" x14ac:dyDescent="0.3">
      <c r="A578" s="1" t="s">
        <v>1548</v>
      </c>
      <c r="B578" s="1" t="s">
        <v>273</v>
      </c>
      <c r="C578">
        <v>15</v>
      </c>
      <c r="D578" s="1" t="s">
        <v>23</v>
      </c>
      <c r="E578" s="1" t="s">
        <v>20</v>
      </c>
      <c r="F578" s="1" t="s">
        <v>103</v>
      </c>
      <c r="G578" s="1" t="s">
        <v>125</v>
      </c>
      <c r="H578" s="1" t="s">
        <v>86</v>
      </c>
      <c r="I578">
        <v>618</v>
      </c>
      <c r="J578">
        <v>3319</v>
      </c>
      <c r="K578">
        <v>4396</v>
      </c>
      <c r="L578">
        <v>1223</v>
      </c>
      <c r="M578">
        <v>9556</v>
      </c>
      <c r="N578" s="2">
        <v>46008</v>
      </c>
      <c r="O578" s="2">
        <v>45779</v>
      </c>
      <c r="P578" s="1" t="s">
        <v>34</v>
      </c>
      <c r="Q578" s="1" t="s">
        <v>16</v>
      </c>
      <c r="R578" s="1" t="s">
        <v>17</v>
      </c>
      <c r="S578">
        <v>591</v>
      </c>
      <c r="T578" s="1" t="s">
        <v>1549</v>
      </c>
    </row>
    <row r="579" spans="1:20" x14ac:dyDescent="0.3">
      <c r="A579" s="1" t="s">
        <v>1550</v>
      </c>
      <c r="B579" s="1" t="s">
        <v>364</v>
      </c>
      <c r="C579">
        <v>11</v>
      </c>
      <c r="D579" s="1" t="s">
        <v>12</v>
      </c>
      <c r="E579" s="1" t="s">
        <v>38</v>
      </c>
      <c r="F579" s="1" t="s">
        <v>84</v>
      </c>
      <c r="G579" s="1" t="s">
        <v>85</v>
      </c>
      <c r="H579" s="1" t="s">
        <v>86</v>
      </c>
      <c r="I579">
        <v>1347</v>
      </c>
      <c r="J579">
        <v>2030</v>
      </c>
      <c r="K579">
        <v>2343</v>
      </c>
      <c r="L579">
        <v>5606</v>
      </c>
      <c r="M579">
        <v>11326</v>
      </c>
      <c r="N579" s="2">
        <v>45716</v>
      </c>
      <c r="O579" s="2">
        <v>45792</v>
      </c>
      <c r="P579" s="1" t="s">
        <v>19</v>
      </c>
      <c r="Q579" s="1" t="s">
        <v>9</v>
      </c>
      <c r="R579" s="1" t="s">
        <v>87</v>
      </c>
      <c r="S579">
        <v>901</v>
      </c>
      <c r="T579" s="1" t="s">
        <v>1551</v>
      </c>
    </row>
    <row r="580" spans="1:20" x14ac:dyDescent="0.3">
      <c r="A580" s="1" t="s">
        <v>1552</v>
      </c>
      <c r="B580" s="1" t="s">
        <v>1553</v>
      </c>
      <c r="C580">
        <v>79</v>
      </c>
      <c r="D580" s="1" t="s">
        <v>23</v>
      </c>
      <c r="E580" s="1" t="s">
        <v>15</v>
      </c>
      <c r="F580" s="1" t="s">
        <v>84</v>
      </c>
      <c r="G580" s="1" t="s">
        <v>125</v>
      </c>
      <c r="H580" s="1" t="s">
        <v>86</v>
      </c>
      <c r="I580">
        <v>769</v>
      </c>
      <c r="J580">
        <v>1486</v>
      </c>
      <c r="K580">
        <v>1383</v>
      </c>
      <c r="L580">
        <v>7574</v>
      </c>
      <c r="M580">
        <v>11212</v>
      </c>
      <c r="N580" s="2">
        <v>45677</v>
      </c>
      <c r="O580" s="2">
        <v>45798</v>
      </c>
      <c r="P580" s="1" t="s">
        <v>19</v>
      </c>
      <c r="Q580" s="1" t="s">
        <v>16</v>
      </c>
      <c r="R580" s="1" t="s">
        <v>87</v>
      </c>
      <c r="S580">
        <v>304</v>
      </c>
      <c r="T580" s="1" t="s">
        <v>1554</v>
      </c>
    </row>
    <row r="581" spans="1:20" x14ac:dyDescent="0.3">
      <c r="A581" s="1" t="s">
        <v>1555</v>
      </c>
      <c r="B581" s="1" t="s">
        <v>370</v>
      </c>
      <c r="C581">
        <v>53</v>
      </c>
      <c r="D581" s="1" t="s">
        <v>12</v>
      </c>
      <c r="E581" s="1" t="s">
        <v>36</v>
      </c>
      <c r="F581" s="1" t="s">
        <v>84</v>
      </c>
      <c r="G581" s="1" t="s">
        <v>158</v>
      </c>
      <c r="H581" s="1" t="s">
        <v>105</v>
      </c>
      <c r="I581">
        <v>988</v>
      </c>
      <c r="J581">
        <v>3990</v>
      </c>
      <c r="K581">
        <v>4225</v>
      </c>
      <c r="L581">
        <v>2005</v>
      </c>
      <c r="M581">
        <v>11208</v>
      </c>
      <c r="N581" s="2">
        <v>45919</v>
      </c>
      <c r="O581" s="2">
        <v>45876</v>
      </c>
      <c r="P581" s="1" t="s">
        <v>34</v>
      </c>
      <c r="Q581" s="1" t="s">
        <v>21</v>
      </c>
      <c r="R581" s="1" t="s">
        <v>17</v>
      </c>
      <c r="S581">
        <v>387</v>
      </c>
      <c r="T581" s="1" t="s">
        <v>1556</v>
      </c>
    </row>
    <row r="582" spans="1:20" x14ac:dyDescent="0.3">
      <c r="A582" s="1" t="s">
        <v>1557</v>
      </c>
      <c r="B582" s="1" t="s">
        <v>42</v>
      </c>
      <c r="C582">
        <v>41</v>
      </c>
      <c r="D582" s="1" t="s">
        <v>23</v>
      </c>
      <c r="E582" s="1" t="s">
        <v>27</v>
      </c>
      <c r="F582" s="1" t="s">
        <v>109</v>
      </c>
      <c r="G582" s="1" t="s">
        <v>91</v>
      </c>
      <c r="H582" s="1" t="s">
        <v>29</v>
      </c>
      <c r="I582">
        <v>301</v>
      </c>
      <c r="J582">
        <v>927</v>
      </c>
      <c r="K582">
        <v>5710</v>
      </c>
      <c r="L582">
        <v>13202</v>
      </c>
      <c r="M582">
        <v>20140</v>
      </c>
      <c r="N582" s="2">
        <v>45822</v>
      </c>
      <c r="O582" s="2">
        <v>45766</v>
      </c>
      <c r="P582" s="1" t="s">
        <v>14</v>
      </c>
      <c r="Q582" s="1" t="s">
        <v>16</v>
      </c>
      <c r="R582" s="1" t="s">
        <v>17</v>
      </c>
      <c r="S582">
        <v>289</v>
      </c>
      <c r="T582" s="1" t="s">
        <v>1558</v>
      </c>
    </row>
    <row r="583" spans="1:20" x14ac:dyDescent="0.3">
      <c r="A583" s="1" t="s">
        <v>1559</v>
      </c>
      <c r="B583" s="1" t="s">
        <v>602</v>
      </c>
      <c r="C583">
        <v>43</v>
      </c>
      <c r="D583" s="1" t="s">
        <v>12</v>
      </c>
      <c r="E583" s="1" t="s">
        <v>20</v>
      </c>
      <c r="F583" s="1" t="s">
        <v>114</v>
      </c>
      <c r="G583" s="1" t="s">
        <v>85</v>
      </c>
      <c r="H583" s="1" t="s">
        <v>13</v>
      </c>
      <c r="I583">
        <v>327</v>
      </c>
      <c r="J583">
        <v>1567</v>
      </c>
      <c r="K583">
        <v>3013</v>
      </c>
      <c r="L583">
        <v>6907</v>
      </c>
      <c r="M583">
        <v>11814</v>
      </c>
      <c r="N583" s="2">
        <v>45843</v>
      </c>
      <c r="O583" s="2">
        <v>45959</v>
      </c>
      <c r="P583" s="1" t="s">
        <v>110</v>
      </c>
      <c r="Q583" s="1" t="s">
        <v>21</v>
      </c>
      <c r="R583" s="1" t="s">
        <v>22</v>
      </c>
      <c r="S583">
        <v>698</v>
      </c>
      <c r="T583" s="1" t="s">
        <v>1560</v>
      </c>
    </row>
    <row r="584" spans="1:20" x14ac:dyDescent="0.3">
      <c r="A584" s="1" t="s">
        <v>1561</v>
      </c>
      <c r="B584" s="1" t="s">
        <v>1468</v>
      </c>
      <c r="C584">
        <v>17</v>
      </c>
      <c r="D584" s="1" t="s">
        <v>23</v>
      </c>
      <c r="E584" s="1" t="s">
        <v>20</v>
      </c>
      <c r="F584" s="1" t="s">
        <v>103</v>
      </c>
      <c r="G584" s="1" t="s">
        <v>91</v>
      </c>
      <c r="H584" s="1" t="s">
        <v>115</v>
      </c>
      <c r="I584">
        <v>695</v>
      </c>
      <c r="J584">
        <v>4151</v>
      </c>
      <c r="K584">
        <v>7881</v>
      </c>
      <c r="L584">
        <v>2616</v>
      </c>
      <c r="M584">
        <v>15343</v>
      </c>
      <c r="N584" s="2">
        <v>45696</v>
      </c>
      <c r="O584" s="2">
        <v>45937</v>
      </c>
      <c r="P584" s="1" t="s">
        <v>136</v>
      </c>
      <c r="Q584" s="1" t="s">
        <v>9</v>
      </c>
      <c r="R584" s="1" t="s">
        <v>22</v>
      </c>
      <c r="S584">
        <v>646</v>
      </c>
      <c r="T584" s="1" t="s">
        <v>1562</v>
      </c>
    </row>
    <row r="585" spans="1:20" x14ac:dyDescent="0.3">
      <c r="A585" s="1" t="s">
        <v>1563</v>
      </c>
      <c r="B585" s="1" t="s">
        <v>1564</v>
      </c>
      <c r="C585">
        <v>17</v>
      </c>
      <c r="D585" s="1" t="s">
        <v>23</v>
      </c>
      <c r="E585" s="1" t="s">
        <v>38</v>
      </c>
      <c r="F585" s="1" t="s">
        <v>120</v>
      </c>
      <c r="G585" s="1" t="s">
        <v>158</v>
      </c>
      <c r="H585" s="1" t="s">
        <v>165</v>
      </c>
      <c r="I585">
        <v>1447</v>
      </c>
      <c r="J585">
        <v>3345</v>
      </c>
      <c r="K585">
        <v>7631</v>
      </c>
      <c r="L585">
        <v>6996</v>
      </c>
      <c r="M585">
        <v>19419</v>
      </c>
      <c r="N585" s="2">
        <v>45887</v>
      </c>
      <c r="O585" s="2">
        <v>45980</v>
      </c>
      <c r="P585" s="1" t="s">
        <v>35</v>
      </c>
      <c r="Q585" s="1" t="s">
        <v>9</v>
      </c>
      <c r="R585" s="1" t="s">
        <v>17</v>
      </c>
      <c r="S585">
        <v>636</v>
      </c>
      <c r="T585" s="1" t="s">
        <v>1565</v>
      </c>
    </row>
    <row r="586" spans="1:20" x14ac:dyDescent="0.3">
      <c r="A586" s="1" t="s">
        <v>1566</v>
      </c>
      <c r="B586" s="1" t="s">
        <v>1567</v>
      </c>
      <c r="C586">
        <v>77</v>
      </c>
      <c r="D586" s="1" t="s">
        <v>12</v>
      </c>
      <c r="E586" s="1" t="s">
        <v>24</v>
      </c>
      <c r="F586" s="1" t="s">
        <v>109</v>
      </c>
      <c r="G586" s="1" t="s">
        <v>85</v>
      </c>
      <c r="H586" s="1" t="s">
        <v>26</v>
      </c>
      <c r="I586">
        <v>393</v>
      </c>
      <c r="J586">
        <v>998</v>
      </c>
      <c r="K586">
        <v>6807</v>
      </c>
      <c r="L586">
        <v>12367</v>
      </c>
      <c r="M586">
        <v>20565</v>
      </c>
      <c r="N586" s="2">
        <v>45755</v>
      </c>
      <c r="O586" s="2">
        <v>45861</v>
      </c>
      <c r="P586" s="1" t="s">
        <v>116</v>
      </c>
      <c r="Q586" s="1" t="s">
        <v>9</v>
      </c>
      <c r="R586" s="1" t="s">
        <v>87</v>
      </c>
      <c r="S586">
        <v>493</v>
      </c>
      <c r="T586" s="1" t="s">
        <v>1568</v>
      </c>
    </row>
    <row r="587" spans="1:20" x14ac:dyDescent="0.3">
      <c r="A587" s="1" t="s">
        <v>1569</v>
      </c>
      <c r="B587" s="1" t="s">
        <v>895</v>
      </c>
      <c r="C587">
        <v>78</v>
      </c>
      <c r="D587" s="1" t="s">
        <v>12</v>
      </c>
      <c r="E587" s="1" t="s">
        <v>27</v>
      </c>
      <c r="F587" s="1" t="s">
        <v>84</v>
      </c>
      <c r="G587" s="1" t="s">
        <v>98</v>
      </c>
      <c r="H587" s="1" t="s">
        <v>145</v>
      </c>
      <c r="I587">
        <v>307</v>
      </c>
      <c r="J587">
        <v>1810</v>
      </c>
      <c r="K587">
        <v>4984</v>
      </c>
      <c r="L587">
        <v>4568</v>
      </c>
      <c r="M587">
        <v>11669</v>
      </c>
      <c r="N587" s="2">
        <v>45961</v>
      </c>
      <c r="O587" s="2">
        <v>46014</v>
      </c>
      <c r="P587" s="1" t="s">
        <v>34</v>
      </c>
      <c r="Q587" s="1" t="s">
        <v>21</v>
      </c>
      <c r="R587" s="1" t="s">
        <v>17</v>
      </c>
      <c r="S587">
        <v>972</v>
      </c>
      <c r="T587" s="1" t="s">
        <v>1570</v>
      </c>
    </row>
    <row r="588" spans="1:20" x14ac:dyDescent="0.3">
      <c r="A588" s="1" t="s">
        <v>1571</v>
      </c>
      <c r="B588" s="1" t="s">
        <v>1406</v>
      </c>
      <c r="C588">
        <v>71</v>
      </c>
      <c r="D588" s="1" t="s">
        <v>23</v>
      </c>
      <c r="E588" s="1" t="s">
        <v>36</v>
      </c>
      <c r="F588" s="1" t="s">
        <v>109</v>
      </c>
      <c r="G588" s="1" t="s">
        <v>85</v>
      </c>
      <c r="H588" s="1" t="s">
        <v>105</v>
      </c>
      <c r="I588">
        <v>393</v>
      </c>
      <c r="J588">
        <v>4870</v>
      </c>
      <c r="K588">
        <v>2251</v>
      </c>
      <c r="L588">
        <v>5781</v>
      </c>
      <c r="M588">
        <v>13295</v>
      </c>
      <c r="N588" s="2">
        <v>45678</v>
      </c>
      <c r="O588" s="2">
        <v>45985</v>
      </c>
      <c r="P588" s="1" t="s">
        <v>25</v>
      </c>
      <c r="Q588" s="1" t="s">
        <v>21</v>
      </c>
      <c r="R588" s="1" t="s">
        <v>22</v>
      </c>
      <c r="S588">
        <v>757</v>
      </c>
      <c r="T588" s="1" t="s">
        <v>1572</v>
      </c>
    </row>
    <row r="589" spans="1:20" x14ac:dyDescent="0.3">
      <c r="A589" s="1" t="s">
        <v>1573</v>
      </c>
      <c r="B589" s="1" t="s">
        <v>144</v>
      </c>
      <c r="C589">
        <v>15</v>
      </c>
      <c r="D589" s="1" t="s">
        <v>23</v>
      </c>
      <c r="E589" s="1" t="s">
        <v>36</v>
      </c>
      <c r="F589" s="1" t="s">
        <v>97</v>
      </c>
      <c r="G589" s="1" t="s">
        <v>91</v>
      </c>
      <c r="H589" s="1" t="s">
        <v>99</v>
      </c>
      <c r="I589">
        <v>964</v>
      </c>
      <c r="J589">
        <v>1181</v>
      </c>
      <c r="K589">
        <v>6079</v>
      </c>
      <c r="L589">
        <v>9999</v>
      </c>
      <c r="M589">
        <v>18223</v>
      </c>
      <c r="N589" s="2">
        <v>45793</v>
      </c>
      <c r="O589" s="2">
        <v>45726</v>
      </c>
      <c r="P589" s="1" t="s">
        <v>93</v>
      </c>
      <c r="Q589" s="1" t="s">
        <v>16</v>
      </c>
      <c r="R589" s="1" t="s">
        <v>87</v>
      </c>
      <c r="S589">
        <v>935</v>
      </c>
      <c r="T589" s="1" t="s">
        <v>1574</v>
      </c>
    </row>
    <row r="590" spans="1:20" x14ac:dyDescent="0.3">
      <c r="A590" s="1" t="s">
        <v>1575</v>
      </c>
      <c r="B590" s="1" t="s">
        <v>289</v>
      </c>
      <c r="C590">
        <v>36</v>
      </c>
      <c r="D590" s="1" t="s">
        <v>23</v>
      </c>
      <c r="E590" s="1" t="s">
        <v>40</v>
      </c>
      <c r="F590" s="1" t="s">
        <v>124</v>
      </c>
      <c r="G590" s="1" t="s">
        <v>176</v>
      </c>
      <c r="H590" s="1" t="s">
        <v>18</v>
      </c>
      <c r="I590">
        <v>1400</v>
      </c>
      <c r="J590">
        <v>1371</v>
      </c>
      <c r="K590">
        <v>6219</v>
      </c>
      <c r="L590">
        <v>13218</v>
      </c>
      <c r="M590">
        <v>22208</v>
      </c>
      <c r="N590" s="2">
        <v>46010</v>
      </c>
      <c r="O590" s="2">
        <v>45853</v>
      </c>
      <c r="P590" s="1" t="s">
        <v>14</v>
      </c>
      <c r="Q590" s="1" t="s">
        <v>9</v>
      </c>
      <c r="R590" s="1" t="s">
        <v>22</v>
      </c>
      <c r="S590">
        <v>432</v>
      </c>
      <c r="T590" s="1" t="s">
        <v>1576</v>
      </c>
    </row>
    <row r="591" spans="1:20" x14ac:dyDescent="0.3">
      <c r="A591" s="1" t="s">
        <v>1577</v>
      </c>
      <c r="B591" s="1" t="s">
        <v>469</v>
      </c>
      <c r="C591">
        <v>81</v>
      </c>
      <c r="D591" s="1" t="s">
        <v>12</v>
      </c>
      <c r="E591" s="1" t="s">
        <v>15</v>
      </c>
      <c r="F591" s="1" t="s">
        <v>109</v>
      </c>
      <c r="G591" s="1" t="s">
        <v>125</v>
      </c>
      <c r="H591" s="1" t="s">
        <v>92</v>
      </c>
      <c r="I591">
        <v>774</v>
      </c>
      <c r="J591">
        <v>4054</v>
      </c>
      <c r="K591">
        <v>3319</v>
      </c>
      <c r="L591">
        <v>3430</v>
      </c>
      <c r="M591">
        <v>11577</v>
      </c>
      <c r="N591" s="2">
        <v>45903</v>
      </c>
      <c r="O591" s="2">
        <v>45705</v>
      </c>
      <c r="P591" s="1" t="s">
        <v>116</v>
      </c>
      <c r="Q591" s="1" t="s">
        <v>31</v>
      </c>
      <c r="R591" s="1" t="s">
        <v>22</v>
      </c>
      <c r="S591">
        <v>293</v>
      </c>
      <c r="T591" s="1" t="s">
        <v>1578</v>
      </c>
    </row>
    <row r="592" spans="1:20" x14ac:dyDescent="0.3">
      <c r="A592" s="1" t="s">
        <v>1579</v>
      </c>
      <c r="B592" s="1" t="s">
        <v>71</v>
      </c>
      <c r="C592">
        <v>83</v>
      </c>
      <c r="D592" s="1" t="s">
        <v>12</v>
      </c>
      <c r="E592" s="1" t="s">
        <v>24</v>
      </c>
      <c r="F592" s="1" t="s">
        <v>103</v>
      </c>
      <c r="G592" s="1" t="s">
        <v>85</v>
      </c>
      <c r="H592" s="1" t="s">
        <v>26</v>
      </c>
      <c r="I592">
        <v>633</v>
      </c>
      <c r="J592">
        <v>1955</v>
      </c>
      <c r="K592">
        <v>6996</v>
      </c>
      <c r="L592">
        <v>7458</v>
      </c>
      <c r="M592">
        <v>17042</v>
      </c>
      <c r="N592" s="2">
        <v>46009</v>
      </c>
      <c r="O592" s="2">
        <v>45969</v>
      </c>
      <c r="P592" s="1" t="s">
        <v>19</v>
      </c>
      <c r="Q592" s="1" t="s">
        <v>16</v>
      </c>
      <c r="R592" s="1" t="s">
        <v>17</v>
      </c>
      <c r="S592">
        <v>351</v>
      </c>
      <c r="T592" s="1" t="s">
        <v>1580</v>
      </c>
    </row>
    <row r="593" spans="1:20" x14ac:dyDescent="0.3">
      <c r="A593" s="1" t="s">
        <v>1581</v>
      </c>
      <c r="B593" s="1" t="s">
        <v>1190</v>
      </c>
      <c r="C593">
        <v>68</v>
      </c>
      <c r="D593" s="1" t="s">
        <v>23</v>
      </c>
      <c r="E593" s="1" t="s">
        <v>15</v>
      </c>
      <c r="F593" s="1" t="s">
        <v>103</v>
      </c>
      <c r="G593" s="1" t="s">
        <v>85</v>
      </c>
      <c r="H593" s="1" t="s">
        <v>13</v>
      </c>
      <c r="I593">
        <v>1073</v>
      </c>
      <c r="J593">
        <v>3645</v>
      </c>
      <c r="K593">
        <v>469</v>
      </c>
      <c r="L593">
        <v>2802</v>
      </c>
      <c r="M593">
        <v>7989</v>
      </c>
      <c r="N593" s="2">
        <v>45664</v>
      </c>
      <c r="O593" s="2">
        <v>45987</v>
      </c>
      <c r="P593" s="1" t="s">
        <v>34</v>
      </c>
      <c r="Q593" s="1" t="s">
        <v>16</v>
      </c>
      <c r="R593" s="1" t="s">
        <v>17</v>
      </c>
      <c r="S593">
        <v>246</v>
      </c>
      <c r="T593" s="1" t="s">
        <v>1582</v>
      </c>
    </row>
    <row r="594" spans="1:20" x14ac:dyDescent="0.3">
      <c r="A594" s="1" t="s">
        <v>1583</v>
      </c>
      <c r="B594" s="1" t="s">
        <v>940</v>
      </c>
      <c r="C594">
        <v>2</v>
      </c>
      <c r="D594" s="1" t="s">
        <v>23</v>
      </c>
      <c r="E594" s="1" t="s">
        <v>36</v>
      </c>
      <c r="F594" s="1" t="s">
        <v>97</v>
      </c>
      <c r="G594" s="1" t="s">
        <v>91</v>
      </c>
      <c r="H594" s="1" t="s">
        <v>37</v>
      </c>
      <c r="I594">
        <v>714</v>
      </c>
      <c r="J594">
        <v>1640</v>
      </c>
      <c r="K594">
        <v>4235</v>
      </c>
      <c r="L594">
        <v>13446</v>
      </c>
      <c r="M594">
        <v>20035</v>
      </c>
      <c r="N594" s="2">
        <v>45946</v>
      </c>
      <c r="O594" s="2">
        <v>45885</v>
      </c>
      <c r="P594" s="1" t="s">
        <v>25</v>
      </c>
      <c r="Q594" s="1" t="s">
        <v>9</v>
      </c>
      <c r="R594" s="1" t="s">
        <v>22</v>
      </c>
      <c r="S594">
        <v>349</v>
      </c>
      <c r="T594" s="1" t="s">
        <v>1584</v>
      </c>
    </row>
    <row r="595" spans="1:20" x14ac:dyDescent="0.3">
      <c r="A595" s="1" t="s">
        <v>1585</v>
      </c>
      <c r="B595" s="1" t="s">
        <v>119</v>
      </c>
      <c r="C595">
        <v>81</v>
      </c>
      <c r="D595" s="1" t="s">
        <v>23</v>
      </c>
      <c r="E595" s="1" t="s">
        <v>33</v>
      </c>
      <c r="F595" s="1" t="s">
        <v>103</v>
      </c>
      <c r="G595" s="1" t="s">
        <v>85</v>
      </c>
      <c r="H595" s="1" t="s">
        <v>29</v>
      </c>
      <c r="I595">
        <v>510</v>
      </c>
      <c r="J595">
        <v>4961</v>
      </c>
      <c r="K595">
        <v>2730</v>
      </c>
      <c r="L595">
        <v>2680</v>
      </c>
      <c r="M595">
        <v>10881</v>
      </c>
      <c r="N595" s="2">
        <v>45919</v>
      </c>
      <c r="O595" s="2">
        <v>45870</v>
      </c>
      <c r="P595" s="1" t="s">
        <v>25</v>
      </c>
      <c r="Q595" s="1" t="s">
        <v>16</v>
      </c>
      <c r="R595" s="1" t="s">
        <v>22</v>
      </c>
      <c r="S595">
        <v>537</v>
      </c>
      <c r="T595" s="1" t="s">
        <v>1586</v>
      </c>
    </row>
    <row r="596" spans="1:20" x14ac:dyDescent="0.3">
      <c r="A596" s="1" t="s">
        <v>1587</v>
      </c>
      <c r="B596" s="1" t="s">
        <v>809</v>
      </c>
      <c r="C596">
        <v>84</v>
      </c>
      <c r="D596" s="1" t="s">
        <v>12</v>
      </c>
      <c r="E596" s="1" t="s">
        <v>20</v>
      </c>
      <c r="F596" s="1" t="s">
        <v>84</v>
      </c>
      <c r="G596" s="1" t="s">
        <v>158</v>
      </c>
      <c r="H596" s="1" t="s">
        <v>155</v>
      </c>
      <c r="I596">
        <v>530</v>
      </c>
      <c r="J596">
        <v>4528</v>
      </c>
      <c r="K596">
        <v>1689</v>
      </c>
      <c r="L596">
        <v>2804</v>
      </c>
      <c r="M596">
        <v>9551</v>
      </c>
      <c r="N596" s="2">
        <v>45772</v>
      </c>
      <c r="O596" s="2">
        <v>45710</v>
      </c>
      <c r="P596" s="1" t="s">
        <v>14</v>
      </c>
      <c r="Q596" s="1" t="s">
        <v>21</v>
      </c>
      <c r="R596" s="1" t="s">
        <v>22</v>
      </c>
      <c r="S596">
        <v>469</v>
      </c>
      <c r="T596" s="1" t="s">
        <v>1588</v>
      </c>
    </row>
    <row r="597" spans="1:20" x14ac:dyDescent="0.3">
      <c r="A597" s="1" t="s">
        <v>1589</v>
      </c>
      <c r="B597" s="1" t="s">
        <v>502</v>
      </c>
      <c r="C597">
        <v>78</v>
      </c>
      <c r="D597" s="1" t="s">
        <v>23</v>
      </c>
      <c r="E597" s="1" t="s">
        <v>36</v>
      </c>
      <c r="F597" s="1" t="s">
        <v>109</v>
      </c>
      <c r="G597" s="1" t="s">
        <v>98</v>
      </c>
      <c r="H597" s="1" t="s">
        <v>199</v>
      </c>
      <c r="I597">
        <v>1386</v>
      </c>
      <c r="J597">
        <v>3243</v>
      </c>
      <c r="K597">
        <v>5212</v>
      </c>
      <c r="L597">
        <v>3971</v>
      </c>
      <c r="M597">
        <v>13812</v>
      </c>
      <c r="N597" s="2">
        <v>46005</v>
      </c>
      <c r="O597" s="2">
        <v>45875</v>
      </c>
      <c r="P597" s="1" t="s">
        <v>25</v>
      </c>
      <c r="Q597" s="1" t="s">
        <v>21</v>
      </c>
      <c r="R597" s="1" t="s">
        <v>17</v>
      </c>
      <c r="S597">
        <v>996</v>
      </c>
      <c r="T597" s="1" t="s">
        <v>1590</v>
      </c>
    </row>
    <row r="598" spans="1:20" x14ac:dyDescent="0.3">
      <c r="A598" s="1" t="s">
        <v>1591</v>
      </c>
      <c r="B598" s="1" t="s">
        <v>1592</v>
      </c>
      <c r="C598">
        <v>85</v>
      </c>
      <c r="D598" s="1" t="s">
        <v>12</v>
      </c>
      <c r="E598" s="1" t="s">
        <v>38</v>
      </c>
      <c r="F598" s="1" t="s">
        <v>124</v>
      </c>
      <c r="G598" s="1" t="s">
        <v>125</v>
      </c>
      <c r="H598" s="1" t="s">
        <v>37</v>
      </c>
      <c r="I598">
        <v>304</v>
      </c>
      <c r="J598">
        <v>1717</v>
      </c>
      <c r="K598">
        <v>6671</v>
      </c>
      <c r="L598">
        <v>11745</v>
      </c>
      <c r="M598">
        <v>20437</v>
      </c>
      <c r="N598" s="2">
        <v>45733</v>
      </c>
      <c r="O598" s="2">
        <v>45821</v>
      </c>
      <c r="P598" s="1" t="s">
        <v>25</v>
      </c>
      <c r="Q598" s="1" t="s">
        <v>9</v>
      </c>
      <c r="R598" s="1" t="s">
        <v>22</v>
      </c>
      <c r="S598">
        <v>215</v>
      </c>
      <c r="T598" s="1" t="s">
        <v>1593</v>
      </c>
    </row>
    <row r="599" spans="1:20" x14ac:dyDescent="0.3">
      <c r="A599" s="1" t="s">
        <v>1594</v>
      </c>
      <c r="B599" s="1" t="s">
        <v>803</v>
      </c>
      <c r="C599">
        <v>19</v>
      </c>
      <c r="D599" s="1" t="s">
        <v>23</v>
      </c>
      <c r="E599" s="1" t="s">
        <v>38</v>
      </c>
      <c r="F599" s="1" t="s">
        <v>97</v>
      </c>
      <c r="G599" s="1" t="s">
        <v>98</v>
      </c>
      <c r="H599" s="1" t="s">
        <v>86</v>
      </c>
      <c r="I599">
        <v>672</v>
      </c>
      <c r="J599">
        <v>3654</v>
      </c>
      <c r="K599">
        <v>3188</v>
      </c>
      <c r="L599">
        <v>6231</v>
      </c>
      <c r="M599">
        <v>13745</v>
      </c>
      <c r="N599" s="2">
        <v>45911</v>
      </c>
      <c r="O599" s="2">
        <v>45875</v>
      </c>
      <c r="P599" s="1" t="s">
        <v>116</v>
      </c>
      <c r="Q599" s="1" t="s">
        <v>21</v>
      </c>
      <c r="R599" s="1" t="s">
        <v>22</v>
      </c>
      <c r="S599">
        <v>921</v>
      </c>
      <c r="T599" s="1" t="s">
        <v>1595</v>
      </c>
    </row>
    <row r="600" spans="1:20" x14ac:dyDescent="0.3">
      <c r="A600" s="1" t="s">
        <v>1596</v>
      </c>
      <c r="B600" s="1" t="s">
        <v>906</v>
      </c>
      <c r="C600">
        <v>54</v>
      </c>
      <c r="D600" s="1" t="s">
        <v>12</v>
      </c>
      <c r="E600" s="1" t="s">
        <v>40</v>
      </c>
      <c r="F600" s="1" t="s">
        <v>135</v>
      </c>
      <c r="G600" s="1" t="s">
        <v>104</v>
      </c>
      <c r="H600" s="1" t="s">
        <v>105</v>
      </c>
      <c r="I600">
        <v>1087</v>
      </c>
      <c r="J600">
        <v>1184</v>
      </c>
      <c r="K600">
        <v>5059</v>
      </c>
      <c r="L600">
        <v>12713</v>
      </c>
      <c r="M600">
        <v>20043</v>
      </c>
      <c r="N600" s="2">
        <v>45873</v>
      </c>
      <c r="O600" s="2">
        <v>45927</v>
      </c>
      <c r="P600" s="1" t="s">
        <v>136</v>
      </c>
      <c r="Q600" s="1" t="s">
        <v>16</v>
      </c>
      <c r="R600" s="1" t="s">
        <v>22</v>
      </c>
      <c r="S600">
        <v>470</v>
      </c>
      <c r="T600" s="1" t="s">
        <v>1597</v>
      </c>
    </row>
    <row r="601" spans="1:20" x14ac:dyDescent="0.3">
      <c r="A601" s="1" t="s">
        <v>1598</v>
      </c>
      <c r="B601" s="1" t="s">
        <v>724</v>
      </c>
      <c r="C601">
        <v>47</v>
      </c>
      <c r="D601" s="1" t="s">
        <v>12</v>
      </c>
      <c r="E601" s="1" t="s">
        <v>15</v>
      </c>
      <c r="F601" s="1" t="s">
        <v>109</v>
      </c>
      <c r="G601" s="1" t="s">
        <v>176</v>
      </c>
      <c r="H601" s="1" t="s">
        <v>13</v>
      </c>
      <c r="I601">
        <v>422</v>
      </c>
      <c r="J601">
        <v>3361</v>
      </c>
      <c r="K601">
        <v>3256</v>
      </c>
      <c r="L601">
        <v>14905</v>
      </c>
      <c r="M601">
        <v>21944</v>
      </c>
      <c r="N601" s="2">
        <v>45729</v>
      </c>
      <c r="O601" s="2">
        <v>45808</v>
      </c>
      <c r="P601" s="1" t="s">
        <v>116</v>
      </c>
      <c r="Q601" s="1" t="s">
        <v>9</v>
      </c>
      <c r="R601" s="1" t="s">
        <v>22</v>
      </c>
      <c r="S601">
        <v>315</v>
      </c>
      <c r="T601" s="1" t="s">
        <v>1599</v>
      </c>
    </row>
    <row r="602" spans="1:20" x14ac:dyDescent="0.3">
      <c r="A602" s="1" t="s">
        <v>1600</v>
      </c>
      <c r="B602" s="1" t="s">
        <v>599</v>
      </c>
      <c r="C602">
        <v>18</v>
      </c>
      <c r="D602" s="1" t="s">
        <v>23</v>
      </c>
      <c r="E602" s="1" t="s">
        <v>24</v>
      </c>
      <c r="F602" s="1" t="s">
        <v>109</v>
      </c>
      <c r="G602" s="1" t="s">
        <v>125</v>
      </c>
      <c r="H602" s="1" t="s">
        <v>155</v>
      </c>
      <c r="I602">
        <v>353</v>
      </c>
      <c r="J602">
        <v>3979</v>
      </c>
      <c r="K602">
        <v>3344</v>
      </c>
      <c r="L602">
        <v>1886</v>
      </c>
      <c r="M602">
        <v>9562</v>
      </c>
      <c r="N602" s="2">
        <v>46017</v>
      </c>
      <c r="O602" s="2">
        <v>45712</v>
      </c>
      <c r="P602" s="1" t="s">
        <v>136</v>
      </c>
      <c r="Q602" s="1" t="s">
        <v>31</v>
      </c>
      <c r="R602" s="1" t="s">
        <v>22</v>
      </c>
      <c r="S602">
        <v>250</v>
      </c>
      <c r="T602" s="1" t="s">
        <v>1601</v>
      </c>
    </row>
    <row r="603" spans="1:20" x14ac:dyDescent="0.3">
      <c r="A603" s="1" t="s">
        <v>1602</v>
      </c>
      <c r="B603" s="1" t="s">
        <v>885</v>
      </c>
      <c r="C603">
        <v>32</v>
      </c>
      <c r="D603" s="1" t="s">
        <v>23</v>
      </c>
      <c r="E603" s="1" t="s">
        <v>27</v>
      </c>
      <c r="F603" s="1" t="s">
        <v>103</v>
      </c>
      <c r="G603" s="1" t="s">
        <v>125</v>
      </c>
      <c r="H603" s="1" t="s">
        <v>199</v>
      </c>
      <c r="I603">
        <v>606</v>
      </c>
      <c r="J603">
        <v>1994</v>
      </c>
      <c r="K603">
        <v>4148</v>
      </c>
      <c r="L603">
        <v>13182</v>
      </c>
      <c r="M603">
        <v>19930</v>
      </c>
      <c r="N603" s="2">
        <v>45729</v>
      </c>
      <c r="O603" s="2">
        <v>45928</v>
      </c>
      <c r="P603" s="1" t="s">
        <v>14</v>
      </c>
      <c r="Q603" s="1" t="s">
        <v>21</v>
      </c>
      <c r="R603" s="1" t="s">
        <v>17</v>
      </c>
      <c r="S603">
        <v>900</v>
      </c>
      <c r="T603" s="1" t="s">
        <v>1603</v>
      </c>
    </row>
    <row r="604" spans="1:20" x14ac:dyDescent="0.3">
      <c r="A604" s="1" t="s">
        <v>1604</v>
      </c>
      <c r="B604" s="1" t="s">
        <v>189</v>
      </c>
      <c r="C604">
        <v>15</v>
      </c>
      <c r="D604" s="1" t="s">
        <v>23</v>
      </c>
      <c r="E604" s="1" t="s">
        <v>36</v>
      </c>
      <c r="F604" s="1" t="s">
        <v>103</v>
      </c>
      <c r="G604" s="1" t="s">
        <v>98</v>
      </c>
      <c r="H604" s="1" t="s">
        <v>29</v>
      </c>
      <c r="I604">
        <v>655</v>
      </c>
      <c r="J604">
        <v>4622</v>
      </c>
      <c r="K604">
        <v>1613</v>
      </c>
      <c r="L604">
        <v>1178</v>
      </c>
      <c r="M604">
        <v>8068</v>
      </c>
      <c r="N604" s="2">
        <v>45860</v>
      </c>
      <c r="O604" s="2">
        <v>45874</v>
      </c>
      <c r="P604" s="1" t="s">
        <v>116</v>
      </c>
      <c r="Q604" s="1" t="s">
        <v>21</v>
      </c>
      <c r="R604" s="1" t="s">
        <v>87</v>
      </c>
      <c r="S604">
        <v>332</v>
      </c>
      <c r="T604" s="1" t="s">
        <v>1605</v>
      </c>
    </row>
    <row r="605" spans="1:20" x14ac:dyDescent="0.3">
      <c r="A605" s="1" t="s">
        <v>1606</v>
      </c>
      <c r="B605" s="1" t="s">
        <v>634</v>
      </c>
      <c r="C605">
        <v>12</v>
      </c>
      <c r="D605" s="1" t="s">
        <v>12</v>
      </c>
      <c r="E605" s="1" t="s">
        <v>24</v>
      </c>
      <c r="F605" s="1" t="s">
        <v>109</v>
      </c>
      <c r="G605" s="1" t="s">
        <v>176</v>
      </c>
      <c r="H605" s="1" t="s">
        <v>115</v>
      </c>
      <c r="I605">
        <v>1120</v>
      </c>
      <c r="J605">
        <v>958</v>
      </c>
      <c r="K605">
        <v>2093</v>
      </c>
      <c r="L605">
        <v>7427</v>
      </c>
      <c r="M605">
        <v>11598</v>
      </c>
      <c r="N605" s="2">
        <v>45752</v>
      </c>
      <c r="O605" s="2">
        <v>45944</v>
      </c>
      <c r="P605" s="1" t="s">
        <v>136</v>
      </c>
      <c r="Q605" s="1" t="s">
        <v>9</v>
      </c>
      <c r="R605" s="1" t="s">
        <v>17</v>
      </c>
      <c r="S605">
        <v>420</v>
      </c>
      <c r="T605" s="1" t="s">
        <v>1607</v>
      </c>
    </row>
    <row r="606" spans="1:20" x14ac:dyDescent="0.3">
      <c r="A606" s="1" t="s">
        <v>1608</v>
      </c>
      <c r="B606" s="1" t="s">
        <v>895</v>
      </c>
      <c r="C606">
        <v>22</v>
      </c>
      <c r="D606" s="1" t="s">
        <v>23</v>
      </c>
      <c r="E606" s="1" t="s">
        <v>20</v>
      </c>
      <c r="F606" s="1" t="s">
        <v>97</v>
      </c>
      <c r="G606" s="1" t="s">
        <v>158</v>
      </c>
      <c r="H606" s="1" t="s">
        <v>199</v>
      </c>
      <c r="I606">
        <v>698</v>
      </c>
      <c r="J606">
        <v>2711</v>
      </c>
      <c r="K606">
        <v>1188</v>
      </c>
      <c r="L606">
        <v>2710</v>
      </c>
      <c r="M606">
        <v>7307</v>
      </c>
      <c r="N606" s="2">
        <v>45697</v>
      </c>
      <c r="O606" s="2">
        <v>45843</v>
      </c>
      <c r="P606" s="1" t="s">
        <v>136</v>
      </c>
      <c r="Q606" s="1" t="s">
        <v>31</v>
      </c>
      <c r="R606" s="1" t="s">
        <v>17</v>
      </c>
      <c r="S606">
        <v>266</v>
      </c>
      <c r="T606" s="1" t="s">
        <v>1609</v>
      </c>
    </row>
    <row r="607" spans="1:20" x14ac:dyDescent="0.3">
      <c r="A607" s="1" t="s">
        <v>1610</v>
      </c>
      <c r="B607" s="1" t="s">
        <v>96</v>
      </c>
      <c r="C607">
        <v>28</v>
      </c>
      <c r="D607" s="1" t="s">
        <v>23</v>
      </c>
      <c r="E607" s="1" t="s">
        <v>33</v>
      </c>
      <c r="F607" s="1" t="s">
        <v>124</v>
      </c>
      <c r="G607" s="1" t="s">
        <v>98</v>
      </c>
      <c r="H607" s="1" t="s">
        <v>115</v>
      </c>
      <c r="I607">
        <v>1429</v>
      </c>
      <c r="J607">
        <v>2152</v>
      </c>
      <c r="K607">
        <v>5529</v>
      </c>
      <c r="L607">
        <v>1530</v>
      </c>
      <c r="M607">
        <v>10640</v>
      </c>
      <c r="N607" s="2">
        <v>45781</v>
      </c>
      <c r="O607" s="2">
        <v>45795</v>
      </c>
      <c r="P607" s="1" t="s">
        <v>35</v>
      </c>
      <c r="Q607" s="1" t="s">
        <v>9</v>
      </c>
      <c r="R607" s="1" t="s">
        <v>22</v>
      </c>
      <c r="S607">
        <v>149</v>
      </c>
      <c r="T607" s="1" t="s">
        <v>1611</v>
      </c>
    </row>
    <row r="608" spans="1:20" x14ac:dyDescent="0.3">
      <c r="A608" s="1" t="s">
        <v>1612</v>
      </c>
      <c r="B608" s="1" t="s">
        <v>516</v>
      </c>
      <c r="C608">
        <v>2</v>
      </c>
      <c r="D608" s="1" t="s">
        <v>12</v>
      </c>
      <c r="E608" s="1" t="s">
        <v>24</v>
      </c>
      <c r="F608" s="1" t="s">
        <v>124</v>
      </c>
      <c r="G608" s="1" t="s">
        <v>91</v>
      </c>
      <c r="H608" s="1" t="s">
        <v>155</v>
      </c>
      <c r="I608">
        <v>1324</v>
      </c>
      <c r="J608">
        <v>2096</v>
      </c>
      <c r="K608">
        <v>2876</v>
      </c>
      <c r="L608">
        <v>13318</v>
      </c>
      <c r="M608">
        <v>19614</v>
      </c>
      <c r="N608" s="2">
        <v>45858</v>
      </c>
      <c r="O608" s="2">
        <v>45840</v>
      </c>
      <c r="P608" s="1" t="s">
        <v>25</v>
      </c>
      <c r="Q608" s="1" t="s">
        <v>9</v>
      </c>
      <c r="R608" s="1" t="s">
        <v>87</v>
      </c>
      <c r="S608">
        <v>615</v>
      </c>
      <c r="T608" s="1" t="s">
        <v>1613</v>
      </c>
    </row>
    <row r="609" spans="1:20" x14ac:dyDescent="0.3">
      <c r="A609" s="1" t="s">
        <v>1614</v>
      </c>
      <c r="B609" s="1" t="s">
        <v>812</v>
      </c>
      <c r="C609">
        <v>4</v>
      </c>
      <c r="D609" s="1" t="s">
        <v>12</v>
      </c>
      <c r="E609" s="1" t="s">
        <v>40</v>
      </c>
      <c r="F609" s="1" t="s">
        <v>135</v>
      </c>
      <c r="G609" s="1" t="s">
        <v>85</v>
      </c>
      <c r="H609" s="1" t="s">
        <v>29</v>
      </c>
      <c r="I609">
        <v>894</v>
      </c>
      <c r="J609">
        <v>1820</v>
      </c>
      <c r="K609">
        <v>1541</v>
      </c>
      <c r="L609">
        <v>12180</v>
      </c>
      <c r="M609">
        <v>16435</v>
      </c>
      <c r="N609" s="2">
        <v>45895</v>
      </c>
      <c r="O609" s="2">
        <v>45698</v>
      </c>
      <c r="P609" s="1" t="s">
        <v>35</v>
      </c>
      <c r="Q609" s="1" t="s">
        <v>31</v>
      </c>
      <c r="R609" s="1" t="s">
        <v>87</v>
      </c>
      <c r="S609">
        <v>264</v>
      </c>
      <c r="T609" s="1" t="s">
        <v>1615</v>
      </c>
    </row>
    <row r="610" spans="1:20" x14ac:dyDescent="0.3">
      <c r="A610" s="1" t="s">
        <v>1616</v>
      </c>
      <c r="B610" s="1" t="s">
        <v>1052</v>
      </c>
      <c r="C610">
        <v>84</v>
      </c>
      <c r="D610" s="1" t="s">
        <v>12</v>
      </c>
      <c r="E610" s="1" t="s">
        <v>40</v>
      </c>
      <c r="F610" s="1" t="s">
        <v>135</v>
      </c>
      <c r="G610" s="1" t="s">
        <v>85</v>
      </c>
      <c r="H610" s="1" t="s">
        <v>86</v>
      </c>
      <c r="I610">
        <v>994</v>
      </c>
      <c r="J610">
        <v>2882</v>
      </c>
      <c r="K610">
        <v>3251</v>
      </c>
      <c r="L610">
        <v>11214</v>
      </c>
      <c r="M610">
        <v>18341</v>
      </c>
      <c r="N610" s="2">
        <v>45878</v>
      </c>
      <c r="O610" s="2">
        <v>45678</v>
      </c>
      <c r="P610" s="1" t="s">
        <v>93</v>
      </c>
      <c r="Q610" s="1" t="s">
        <v>16</v>
      </c>
      <c r="R610" s="1" t="s">
        <v>22</v>
      </c>
      <c r="S610">
        <v>680</v>
      </c>
      <c r="T610" s="1" t="s">
        <v>1617</v>
      </c>
    </row>
    <row r="611" spans="1:20" x14ac:dyDescent="0.3">
      <c r="A611" s="1" t="s">
        <v>1618</v>
      </c>
      <c r="B611" s="1" t="s">
        <v>11</v>
      </c>
      <c r="C611">
        <v>2</v>
      </c>
      <c r="D611" s="1" t="s">
        <v>23</v>
      </c>
      <c r="E611" s="1" t="s">
        <v>24</v>
      </c>
      <c r="F611" s="1" t="s">
        <v>124</v>
      </c>
      <c r="G611" s="1" t="s">
        <v>91</v>
      </c>
      <c r="H611" s="1" t="s">
        <v>37</v>
      </c>
      <c r="I611">
        <v>1321</v>
      </c>
      <c r="J611">
        <v>1270</v>
      </c>
      <c r="K611">
        <v>4025</v>
      </c>
      <c r="L611">
        <v>6139</v>
      </c>
      <c r="M611">
        <v>12755</v>
      </c>
      <c r="N611" s="2">
        <v>45744</v>
      </c>
      <c r="O611" s="2">
        <v>45809</v>
      </c>
      <c r="P611" s="1" t="s">
        <v>25</v>
      </c>
      <c r="Q611" s="1" t="s">
        <v>21</v>
      </c>
      <c r="R611" s="1" t="s">
        <v>17</v>
      </c>
      <c r="S611">
        <v>191</v>
      </c>
      <c r="T611" s="1" t="s">
        <v>1619</v>
      </c>
    </row>
    <row r="612" spans="1:20" x14ac:dyDescent="0.3">
      <c r="A612" s="1" t="s">
        <v>1620</v>
      </c>
      <c r="B612" s="1" t="s">
        <v>981</v>
      </c>
      <c r="C612">
        <v>34</v>
      </c>
      <c r="D612" s="1" t="s">
        <v>12</v>
      </c>
      <c r="E612" s="1" t="s">
        <v>38</v>
      </c>
      <c r="F612" s="1" t="s">
        <v>124</v>
      </c>
      <c r="G612" s="1" t="s">
        <v>125</v>
      </c>
      <c r="H612" s="1" t="s">
        <v>92</v>
      </c>
      <c r="I612">
        <v>587</v>
      </c>
      <c r="J612">
        <v>1515</v>
      </c>
      <c r="K612">
        <v>4959</v>
      </c>
      <c r="L612">
        <v>8999</v>
      </c>
      <c r="M612">
        <v>16060</v>
      </c>
      <c r="N612" s="2">
        <v>45678</v>
      </c>
      <c r="O612" s="2">
        <v>45844</v>
      </c>
      <c r="P612" s="1" t="s">
        <v>14</v>
      </c>
      <c r="Q612" s="1" t="s">
        <v>31</v>
      </c>
      <c r="R612" s="1" t="s">
        <v>17</v>
      </c>
      <c r="S612">
        <v>475</v>
      </c>
      <c r="T612" s="1" t="s">
        <v>1621</v>
      </c>
    </row>
    <row r="613" spans="1:20" x14ac:dyDescent="0.3">
      <c r="A613" s="1" t="s">
        <v>1622</v>
      </c>
      <c r="B613" s="1" t="s">
        <v>192</v>
      </c>
      <c r="C613">
        <v>48</v>
      </c>
      <c r="D613" s="1" t="s">
        <v>23</v>
      </c>
      <c r="E613" s="1" t="s">
        <v>33</v>
      </c>
      <c r="F613" s="1" t="s">
        <v>120</v>
      </c>
      <c r="G613" s="1" t="s">
        <v>85</v>
      </c>
      <c r="H613" s="1" t="s">
        <v>92</v>
      </c>
      <c r="I613">
        <v>838</v>
      </c>
      <c r="J613">
        <v>849</v>
      </c>
      <c r="K613">
        <v>5384</v>
      </c>
      <c r="L613">
        <v>11549</v>
      </c>
      <c r="M613">
        <v>18620</v>
      </c>
      <c r="N613" s="2">
        <v>45687</v>
      </c>
      <c r="O613" s="2">
        <v>45783</v>
      </c>
      <c r="P613" s="1" t="s">
        <v>110</v>
      </c>
      <c r="Q613" s="1" t="s">
        <v>16</v>
      </c>
      <c r="R613" s="1" t="s">
        <v>17</v>
      </c>
      <c r="S613">
        <v>484</v>
      </c>
      <c r="T613" s="1" t="s">
        <v>1623</v>
      </c>
    </row>
    <row r="614" spans="1:20" x14ac:dyDescent="0.3">
      <c r="A614" s="1" t="s">
        <v>1624</v>
      </c>
      <c r="B614" s="1" t="s">
        <v>1040</v>
      </c>
      <c r="C614">
        <v>10</v>
      </c>
      <c r="D614" s="1" t="s">
        <v>23</v>
      </c>
      <c r="E614" s="1" t="s">
        <v>24</v>
      </c>
      <c r="F614" s="1" t="s">
        <v>120</v>
      </c>
      <c r="G614" s="1" t="s">
        <v>158</v>
      </c>
      <c r="H614" s="1" t="s">
        <v>92</v>
      </c>
      <c r="I614">
        <v>491</v>
      </c>
      <c r="J614">
        <v>3358</v>
      </c>
      <c r="K614">
        <v>4116</v>
      </c>
      <c r="L614">
        <v>8675</v>
      </c>
      <c r="M614">
        <v>16640</v>
      </c>
      <c r="N614" s="2">
        <v>45986</v>
      </c>
      <c r="O614" s="2">
        <v>45931</v>
      </c>
      <c r="P614" s="1" t="s">
        <v>116</v>
      </c>
      <c r="Q614" s="1" t="s">
        <v>31</v>
      </c>
      <c r="R614" s="1" t="s">
        <v>87</v>
      </c>
      <c r="S614">
        <v>210</v>
      </c>
      <c r="T614" s="1" t="s">
        <v>1625</v>
      </c>
    </row>
    <row r="615" spans="1:20" x14ac:dyDescent="0.3">
      <c r="A615" s="1" t="s">
        <v>1626</v>
      </c>
      <c r="B615" s="1" t="s">
        <v>208</v>
      </c>
      <c r="C615">
        <v>26</v>
      </c>
      <c r="D615" s="1" t="s">
        <v>12</v>
      </c>
      <c r="E615" s="1" t="s">
        <v>24</v>
      </c>
      <c r="F615" s="1" t="s">
        <v>97</v>
      </c>
      <c r="G615" s="1" t="s">
        <v>91</v>
      </c>
      <c r="H615" s="1" t="s">
        <v>37</v>
      </c>
      <c r="I615">
        <v>949</v>
      </c>
      <c r="J615">
        <v>3305</v>
      </c>
      <c r="K615">
        <v>5250</v>
      </c>
      <c r="L615">
        <v>8967</v>
      </c>
      <c r="M615">
        <v>18471</v>
      </c>
      <c r="N615" s="2">
        <v>45766</v>
      </c>
      <c r="O615" s="2">
        <v>46017</v>
      </c>
      <c r="P615" s="1" t="s">
        <v>116</v>
      </c>
      <c r="Q615" s="1" t="s">
        <v>9</v>
      </c>
      <c r="R615" s="1" t="s">
        <v>22</v>
      </c>
      <c r="S615">
        <v>658</v>
      </c>
      <c r="T615" s="1" t="s">
        <v>1627</v>
      </c>
    </row>
    <row r="616" spans="1:20" x14ac:dyDescent="0.3">
      <c r="A616" s="1" t="s">
        <v>1628</v>
      </c>
      <c r="B616" s="1" t="s">
        <v>45</v>
      </c>
      <c r="C616">
        <v>82</v>
      </c>
      <c r="D616" s="1" t="s">
        <v>23</v>
      </c>
      <c r="E616" s="1" t="s">
        <v>40</v>
      </c>
      <c r="F616" s="1" t="s">
        <v>97</v>
      </c>
      <c r="G616" s="1" t="s">
        <v>158</v>
      </c>
      <c r="H616" s="1" t="s">
        <v>29</v>
      </c>
      <c r="I616">
        <v>1078</v>
      </c>
      <c r="J616">
        <v>1011</v>
      </c>
      <c r="K616">
        <v>7971</v>
      </c>
      <c r="L616">
        <v>14247</v>
      </c>
      <c r="M616">
        <v>24307</v>
      </c>
      <c r="N616" s="2">
        <v>45843</v>
      </c>
      <c r="O616" s="2">
        <v>45878</v>
      </c>
      <c r="P616" s="1" t="s">
        <v>116</v>
      </c>
      <c r="Q616" s="1" t="s">
        <v>31</v>
      </c>
      <c r="R616" s="1" t="s">
        <v>22</v>
      </c>
      <c r="S616">
        <v>876</v>
      </c>
      <c r="T616" s="1" t="s">
        <v>1629</v>
      </c>
    </row>
    <row r="617" spans="1:20" x14ac:dyDescent="0.3">
      <c r="A617" s="1" t="s">
        <v>1630</v>
      </c>
      <c r="B617" s="1" t="s">
        <v>803</v>
      </c>
      <c r="C617">
        <v>33</v>
      </c>
      <c r="D617" s="1" t="s">
        <v>23</v>
      </c>
      <c r="E617" s="1" t="s">
        <v>38</v>
      </c>
      <c r="F617" s="1" t="s">
        <v>114</v>
      </c>
      <c r="G617" s="1" t="s">
        <v>98</v>
      </c>
      <c r="H617" s="1" t="s">
        <v>86</v>
      </c>
      <c r="I617">
        <v>441</v>
      </c>
      <c r="J617">
        <v>2743</v>
      </c>
      <c r="K617">
        <v>3618</v>
      </c>
      <c r="L617">
        <v>2338</v>
      </c>
      <c r="M617">
        <v>9140</v>
      </c>
      <c r="N617" s="2">
        <v>45810</v>
      </c>
      <c r="O617" s="2">
        <v>46022</v>
      </c>
      <c r="P617" s="1" t="s">
        <v>116</v>
      </c>
      <c r="Q617" s="1" t="s">
        <v>31</v>
      </c>
      <c r="R617" s="1" t="s">
        <v>87</v>
      </c>
      <c r="S617">
        <v>365</v>
      </c>
      <c r="T617" s="1" t="s">
        <v>1631</v>
      </c>
    </row>
    <row r="618" spans="1:20" x14ac:dyDescent="0.3">
      <c r="A618" s="1" t="s">
        <v>1632</v>
      </c>
      <c r="B618" s="1" t="s">
        <v>511</v>
      </c>
      <c r="C618">
        <v>55</v>
      </c>
      <c r="D618" s="1" t="s">
        <v>12</v>
      </c>
      <c r="E618" s="1" t="s">
        <v>38</v>
      </c>
      <c r="F618" s="1" t="s">
        <v>124</v>
      </c>
      <c r="G618" s="1" t="s">
        <v>91</v>
      </c>
      <c r="H618" s="1" t="s">
        <v>145</v>
      </c>
      <c r="I618">
        <v>706</v>
      </c>
      <c r="J618">
        <v>3361</v>
      </c>
      <c r="K618">
        <v>3733</v>
      </c>
      <c r="L618">
        <v>8890</v>
      </c>
      <c r="M618">
        <v>16690</v>
      </c>
      <c r="N618" s="2">
        <v>45901</v>
      </c>
      <c r="O618" s="2">
        <v>45932</v>
      </c>
      <c r="P618" s="1" t="s">
        <v>25</v>
      </c>
      <c r="Q618" s="1" t="s">
        <v>9</v>
      </c>
      <c r="R618" s="1" t="s">
        <v>22</v>
      </c>
      <c r="S618">
        <v>674</v>
      </c>
      <c r="T618" s="1" t="s">
        <v>1633</v>
      </c>
    </row>
    <row r="619" spans="1:20" x14ac:dyDescent="0.3">
      <c r="A619" s="1" t="s">
        <v>1634</v>
      </c>
      <c r="B619" s="1" t="s">
        <v>1635</v>
      </c>
      <c r="C619">
        <v>10</v>
      </c>
      <c r="D619" s="1" t="s">
        <v>23</v>
      </c>
      <c r="E619" s="1" t="s">
        <v>24</v>
      </c>
      <c r="F619" s="1" t="s">
        <v>97</v>
      </c>
      <c r="G619" s="1" t="s">
        <v>176</v>
      </c>
      <c r="H619" s="1" t="s">
        <v>186</v>
      </c>
      <c r="I619">
        <v>329</v>
      </c>
      <c r="J619">
        <v>1732</v>
      </c>
      <c r="K619">
        <v>7644</v>
      </c>
      <c r="L619">
        <v>8514</v>
      </c>
      <c r="M619">
        <v>18219</v>
      </c>
      <c r="N619" s="2">
        <v>45733</v>
      </c>
      <c r="O619" s="2">
        <v>45913</v>
      </c>
      <c r="P619" s="1" t="s">
        <v>177</v>
      </c>
      <c r="Q619" s="1" t="s">
        <v>9</v>
      </c>
      <c r="R619" s="1" t="s">
        <v>17</v>
      </c>
      <c r="S619">
        <v>633</v>
      </c>
      <c r="T619" s="1" t="s">
        <v>1636</v>
      </c>
    </row>
    <row r="620" spans="1:20" x14ac:dyDescent="0.3">
      <c r="A620" s="1" t="s">
        <v>1637</v>
      </c>
      <c r="B620" s="1" t="s">
        <v>1121</v>
      </c>
      <c r="C620">
        <v>17</v>
      </c>
      <c r="D620" s="1" t="s">
        <v>12</v>
      </c>
      <c r="E620" s="1" t="s">
        <v>38</v>
      </c>
      <c r="F620" s="1" t="s">
        <v>114</v>
      </c>
      <c r="G620" s="1" t="s">
        <v>85</v>
      </c>
      <c r="H620" s="1" t="s">
        <v>29</v>
      </c>
      <c r="I620">
        <v>747</v>
      </c>
      <c r="J620">
        <v>2037</v>
      </c>
      <c r="K620">
        <v>3742</v>
      </c>
      <c r="L620">
        <v>12410</v>
      </c>
      <c r="M620">
        <v>18936</v>
      </c>
      <c r="N620" s="2">
        <v>45937</v>
      </c>
      <c r="O620" s="2">
        <v>45743</v>
      </c>
      <c r="P620" s="1" t="s">
        <v>136</v>
      </c>
      <c r="Q620" s="1" t="s">
        <v>21</v>
      </c>
      <c r="R620" s="1" t="s">
        <v>22</v>
      </c>
      <c r="S620">
        <v>295</v>
      </c>
      <c r="T620" s="1" t="s">
        <v>1638</v>
      </c>
    </row>
    <row r="621" spans="1:20" x14ac:dyDescent="0.3">
      <c r="A621" s="1" t="s">
        <v>1639</v>
      </c>
      <c r="B621" s="1" t="s">
        <v>572</v>
      </c>
      <c r="C621">
        <v>48</v>
      </c>
      <c r="D621" s="1" t="s">
        <v>12</v>
      </c>
      <c r="E621" s="1" t="s">
        <v>38</v>
      </c>
      <c r="F621" s="1" t="s">
        <v>103</v>
      </c>
      <c r="G621" s="1" t="s">
        <v>125</v>
      </c>
      <c r="H621" s="1" t="s">
        <v>26</v>
      </c>
      <c r="I621">
        <v>928</v>
      </c>
      <c r="J621">
        <v>4613</v>
      </c>
      <c r="K621">
        <v>7009</v>
      </c>
      <c r="L621">
        <v>3043</v>
      </c>
      <c r="M621">
        <v>15593</v>
      </c>
      <c r="N621" s="2">
        <v>46016</v>
      </c>
      <c r="O621" s="2">
        <v>45913</v>
      </c>
      <c r="P621" s="1" t="s">
        <v>116</v>
      </c>
      <c r="Q621" s="1" t="s">
        <v>21</v>
      </c>
      <c r="R621" s="1" t="s">
        <v>17</v>
      </c>
      <c r="S621">
        <v>948</v>
      </c>
      <c r="T621" s="1" t="s">
        <v>1640</v>
      </c>
    </row>
    <row r="622" spans="1:20" x14ac:dyDescent="0.3">
      <c r="A622" s="1" t="s">
        <v>1641</v>
      </c>
      <c r="B622" s="1" t="s">
        <v>1642</v>
      </c>
      <c r="C622">
        <v>43</v>
      </c>
      <c r="D622" s="1" t="s">
        <v>23</v>
      </c>
      <c r="E622" s="1" t="s">
        <v>38</v>
      </c>
      <c r="F622" s="1" t="s">
        <v>109</v>
      </c>
      <c r="G622" s="1" t="s">
        <v>125</v>
      </c>
      <c r="H622" s="1" t="s">
        <v>92</v>
      </c>
      <c r="I622">
        <v>1177</v>
      </c>
      <c r="J622">
        <v>3556</v>
      </c>
      <c r="K622">
        <v>1749</v>
      </c>
      <c r="L622">
        <v>10056</v>
      </c>
      <c r="M622">
        <v>16538</v>
      </c>
      <c r="N622" s="2">
        <v>45962</v>
      </c>
      <c r="O622" s="2">
        <v>45741</v>
      </c>
      <c r="P622" s="1" t="s">
        <v>110</v>
      </c>
      <c r="Q622" s="1" t="s">
        <v>21</v>
      </c>
      <c r="R622" s="1" t="s">
        <v>87</v>
      </c>
      <c r="S622">
        <v>805</v>
      </c>
      <c r="T622" s="1" t="s">
        <v>1643</v>
      </c>
    </row>
    <row r="623" spans="1:20" x14ac:dyDescent="0.3">
      <c r="A623" s="1" t="s">
        <v>1644</v>
      </c>
      <c r="B623" s="1" t="s">
        <v>46</v>
      </c>
      <c r="C623">
        <v>80</v>
      </c>
      <c r="D623" s="1" t="s">
        <v>23</v>
      </c>
      <c r="E623" s="1" t="s">
        <v>24</v>
      </c>
      <c r="F623" s="1" t="s">
        <v>114</v>
      </c>
      <c r="G623" s="1" t="s">
        <v>104</v>
      </c>
      <c r="H623" s="1" t="s">
        <v>13</v>
      </c>
      <c r="I623">
        <v>483</v>
      </c>
      <c r="J623">
        <v>634</v>
      </c>
      <c r="K623">
        <v>5348</v>
      </c>
      <c r="L623">
        <v>7738</v>
      </c>
      <c r="M623">
        <v>14203</v>
      </c>
      <c r="N623" s="2">
        <v>45711</v>
      </c>
      <c r="O623" s="2">
        <v>45912</v>
      </c>
      <c r="P623" s="1" t="s">
        <v>136</v>
      </c>
      <c r="Q623" s="1" t="s">
        <v>9</v>
      </c>
      <c r="R623" s="1" t="s">
        <v>87</v>
      </c>
      <c r="S623">
        <v>695</v>
      </c>
      <c r="T623" s="1" t="s">
        <v>1645</v>
      </c>
    </row>
    <row r="624" spans="1:20" x14ac:dyDescent="0.3">
      <c r="A624" s="1" t="s">
        <v>1646</v>
      </c>
      <c r="B624" s="1" t="s">
        <v>661</v>
      </c>
      <c r="C624">
        <v>54</v>
      </c>
      <c r="D624" s="1" t="s">
        <v>23</v>
      </c>
      <c r="E624" s="1" t="s">
        <v>27</v>
      </c>
      <c r="F624" s="1" t="s">
        <v>84</v>
      </c>
      <c r="G624" s="1" t="s">
        <v>125</v>
      </c>
      <c r="H624" s="1" t="s">
        <v>92</v>
      </c>
      <c r="I624">
        <v>1429</v>
      </c>
      <c r="J624">
        <v>3621</v>
      </c>
      <c r="K624">
        <v>1237</v>
      </c>
      <c r="L624">
        <v>4204</v>
      </c>
      <c r="M624">
        <v>10491</v>
      </c>
      <c r="N624" s="2">
        <v>45898</v>
      </c>
      <c r="O624" s="2">
        <v>45721</v>
      </c>
      <c r="P624" s="1" t="s">
        <v>177</v>
      </c>
      <c r="Q624" s="1" t="s">
        <v>9</v>
      </c>
      <c r="R624" s="1" t="s">
        <v>22</v>
      </c>
      <c r="S624">
        <v>483</v>
      </c>
      <c r="T624" s="1" t="s">
        <v>1647</v>
      </c>
    </row>
    <row r="625" spans="1:20" x14ac:dyDescent="0.3">
      <c r="A625" s="1" t="s">
        <v>1648</v>
      </c>
      <c r="B625" s="1" t="s">
        <v>1649</v>
      </c>
      <c r="C625">
        <v>37</v>
      </c>
      <c r="D625" s="1" t="s">
        <v>12</v>
      </c>
      <c r="E625" s="1" t="s">
        <v>15</v>
      </c>
      <c r="F625" s="1" t="s">
        <v>124</v>
      </c>
      <c r="G625" s="1" t="s">
        <v>176</v>
      </c>
      <c r="H625" s="1" t="s">
        <v>26</v>
      </c>
      <c r="I625">
        <v>1149</v>
      </c>
      <c r="J625">
        <v>2478</v>
      </c>
      <c r="K625">
        <v>334</v>
      </c>
      <c r="L625">
        <v>7792</v>
      </c>
      <c r="M625">
        <v>11753</v>
      </c>
      <c r="N625" s="2">
        <v>45674</v>
      </c>
      <c r="O625" s="2">
        <v>45665</v>
      </c>
      <c r="P625" s="1" t="s">
        <v>34</v>
      </c>
      <c r="Q625" s="1" t="s">
        <v>21</v>
      </c>
      <c r="R625" s="1" t="s">
        <v>87</v>
      </c>
      <c r="S625">
        <v>939</v>
      </c>
      <c r="T625" s="1" t="s">
        <v>1650</v>
      </c>
    </row>
    <row r="626" spans="1:20" x14ac:dyDescent="0.3">
      <c r="A626" s="1" t="s">
        <v>1651</v>
      </c>
      <c r="B626" s="1" t="s">
        <v>192</v>
      </c>
      <c r="C626">
        <v>43</v>
      </c>
      <c r="D626" s="1" t="s">
        <v>23</v>
      </c>
      <c r="E626" s="1" t="s">
        <v>38</v>
      </c>
      <c r="F626" s="1" t="s">
        <v>120</v>
      </c>
      <c r="G626" s="1" t="s">
        <v>85</v>
      </c>
      <c r="H626" s="1" t="s">
        <v>105</v>
      </c>
      <c r="I626">
        <v>1438</v>
      </c>
      <c r="J626">
        <v>3706</v>
      </c>
      <c r="K626">
        <v>1878</v>
      </c>
      <c r="L626">
        <v>11096</v>
      </c>
      <c r="M626">
        <v>18118</v>
      </c>
      <c r="N626" s="2">
        <v>45987</v>
      </c>
      <c r="O626" s="2">
        <v>45859</v>
      </c>
      <c r="P626" s="1" t="s">
        <v>34</v>
      </c>
      <c r="Q626" s="1" t="s">
        <v>9</v>
      </c>
      <c r="R626" s="1" t="s">
        <v>87</v>
      </c>
      <c r="S626">
        <v>277</v>
      </c>
      <c r="T626" s="1" t="s">
        <v>1652</v>
      </c>
    </row>
    <row r="627" spans="1:20" x14ac:dyDescent="0.3">
      <c r="A627" s="1" t="s">
        <v>1653</v>
      </c>
      <c r="B627" s="1" t="s">
        <v>777</v>
      </c>
      <c r="C627">
        <v>21</v>
      </c>
      <c r="D627" s="1" t="s">
        <v>12</v>
      </c>
      <c r="E627" s="1" t="s">
        <v>15</v>
      </c>
      <c r="F627" s="1" t="s">
        <v>84</v>
      </c>
      <c r="G627" s="1" t="s">
        <v>91</v>
      </c>
      <c r="H627" s="1" t="s">
        <v>13</v>
      </c>
      <c r="I627">
        <v>558</v>
      </c>
      <c r="J627">
        <v>4630</v>
      </c>
      <c r="K627">
        <v>1269</v>
      </c>
      <c r="L627">
        <v>11345</v>
      </c>
      <c r="M627">
        <v>17802</v>
      </c>
      <c r="N627" s="2">
        <v>45953</v>
      </c>
      <c r="O627" s="2">
        <v>45858</v>
      </c>
      <c r="P627" s="1" t="s">
        <v>14</v>
      </c>
      <c r="Q627" s="1" t="s">
        <v>31</v>
      </c>
      <c r="R627" s="1" t="s">
        <v>22</v>
      </c>
      <c r="S627">
        <v>195</v>
      </c>
      <c r="T627" s="1" t="s">
        <v>1654</v>
      </c>
    </row>
    <row r="628" spans="1:20" x14ac:dyDescent="0.3">
      <c r="A628" s="1" t="s">
        <v>1655</v>
      </c>
      <c r="B628" s="1" t="s">
        <v>32</v>
      </c>
      <c r="C628">
        <v>81</v>
      </c>
      <c r="D628" s="1" t="s">
        <v>23</v>
      </c>
      <c r="E628" s="1" t="s">
        <v>15</v>
      </c>
      <c r="F628" s="1" t="s">
        <v>103</v>
      </c>
      <c r="G628" s="1" t="s">
        <v>85</v>
      </c>
      <c r="H628" s="1" t="s">
        <v>37</v>
      </c>
      <c r="I628">
        <v>1471</v>
      </c>
      <c r="J628">
        <v>3632</v>
      </c>
      <c r="K628">
        <v>507</v>
      </c>
      <c r="L628">
        <v>13162</v>
      </c>
      <c r="M628">
        <v>18772</v>
      </c>
      <c r="N628" s="2">
        <v>45724</v>
      </c>
      <c r="O628" s="2">
        <v>45890</v>
      </c>
      <c r="P628" s="1" t="s">
        <v>177</v>
      </c>
      <c r="Q628" s="1" t="s">
        <v>31</v>
      </c>
      <c r="R628" s="1" t="s">
        <v>17</v>
      </c>
      <c r="S628">
        <v>298</v>
      </c>
      <c r="T628" s="1" t="s">
        <v>1656</v>
      </c>
    </row>
    <row r="629" spans="1:20" x14ac:dyDescent="0.3">
      <c r="A629" s="1" t="s">
        <v>1657</v>
      </c>
      <c r="B629" s="1" t="s">
        <v>906</v>
      </c>
      <c r="C629">
        <v>34</v>
      </c>
      <c r="D629" s="1" t="s">
        <v>23</v>
      </c>
      <c r="E629" s="1" t="s">
        <v>24</v>
      </c>
      <c r="F629" s="1" t="s">
        <v>124</v>
      </c>
      <c r="G629" s="1" t="s">
        <v>158</v>
      </c>
      <c r="H629" s="1" t="s">
        <v>37</v>
      </c>
      <c r="I629">
        <v>594</v>
      </c>
      <c r="J629">
        <v>689</v>
      </c>
      <c r="K629">
        <v>5529</v>
      </c>
      <c r="L629">
        <v>10492</v>
      </c>
      <c r="M629">
        <v>17304</v>
      </c>
      <c r="N629" s="2">
        <v>45710</v>
      </c>
      <c r="O629" s="2">
        <v>45714</v>
      </c>
      <c r="P629" s="1" t="s">
        <v>116</v>
      </c>
      <c r="Q629" s="1" t="s">
        <v>31</v>
      </c>
      <c r="R629" s="1" t="s">
        <v>17</v>
      </c>
      <c r="S629">
        <v>368</v>
      </c>
      <c r="T629" s="1" t="s">
        <v>1658</v>
      </c>
    </row>
    <row r="630" spans="1:20" x14ac:dyDescent="0.3">
      <c r="A630" s="1" t="s">
        <v>1659</v>
      </c>
      <c r="B630" s="1" t="s">
        <v>154</v>
      </c>
      <c r="C630">
        <v>10</v>
      </c>
      <c r="D630" s="1" t="s">
        <v>12</v>
      </c>
      <c r="E630" s="1" t="s">
        <v>27</v>
      </c>
      <c r="F630" s="1" t="s">
        <v>97</v>
      </c>
      <c r="G630" s="1" t="s">
        <v>104</v>
      </c>
      <c r="H630" s="1" t="s">
        <v>115</v>
      </c>
      <c r="I630">
        <v>1100</v>
      </c>
      <c r="J630">
        <v>1324</v>
      </c>
      <c r="K630">
        <v>4322</v>
      </c>
      <c r="L630">
        <v>14032</v>
      </c>
      <c r="M630">
        <v>20778</v>
      </c>
      <c r="N630" s="2">
        <v>45669</v>
      </c>
      <c r="O630" s="2">
        <v>45869</v>
      </c>
      <c r="P630" s="1" t="s">
        <v>35</v>
      </c>
      <c r="Q630" s="1" t="s">
        <v>16</v>
      </c>
      <c r="R630" s="1" t="s">
        <v>22</v>
      </c>
      <c r="S630">
        <v>803</v>
      </c>
      <c r="T630" s="1" t="s">
        <v>1660</v>
      </c>
    </row>
    <row r="631" spans="1:20" x14ac:dyDescent="0.3">
      <c r="A631" s="1" t="s">
        <v>1661</v>
      </c>
      <c r="B631" s="1" t="s">
        <v>1662</v>
      </c>
      <c r="C631">
        <v>82</v>
      </c>
      <c r="D631" s="1" t="s">
        <v>12</v>
      </c>
      <c r="E631" s="1" t="s">
        <v>33</v>
      </c>
      <c r="F631" s="1" t="s">
        <v>109</v>
      </c>
      <c r="G631" s="1" t="s">
        <v>158</v>
      </c>
      <c r="H631" s="1" t="s">
        <v>145</v>
      </c>
      <c r="I631">
        <v>911</v>
      </c>
      <c r="J631">
        <v>583</v>
      </c>
      <c r="K631">
        <v>7702</v>
      </c>
      <c r="L631">
        <v>3927</v>
      </c>
      <c r="M631">
        <v>13123</v>
      </c>
      <c r="N631" s="2">
        <v>45995</v>
      </c>
      <c r="O631" s="2">
        <v>45948</v>
      </c>
      <c r="P631" s="1" t="s">
        <v>136</v>
      </c>
      <c r="Q631" s="1" t="s">
        <v>21</v>
      </c>
      <c r="R631" s="1" t="s">
        <v>17</v>
      </c>
      <c r="S631">
        <v>595</v>
      </c>
      <c r="T631" s="1" t="s">
        <v>1663</v>
      </c>
    </row>
    <row r="632" spans="1:20" x14ac:dyDescent="0.3">
      <c r="A632" s="1" t="s">
        <v>1664</v>
      </c>
      <c r="B632" s="1" t="s">
        <v>1665</v>
      </c>
      <c r="C632">
        <v>1</v>
      </c>
      <c r="D632" s="1" t="s">
        <v>23</v>
      </c>
      <c r="E632" s="1" t="s">
        <v>40</v>
      </c>
      <c r="F632" s="1" t="s">
        <v>124</v>
      </c>
      <c r="G632" s="1" t="s">
        <v>176</v>
      </c>
      <c r="H632" s="1" t="s">
        <v>13</v>
      </c>
      <c r="I632">
        <v>694</v>
      </c>
      <c r="J632">
        <v>742</v>
      </c>
      <c r="K632">
        <v>4690</v>
      </c>
      <c r="L632">
        <v>1377</v>
      </c>
      <c r="M632">
        <v>7503</v>
      </c>
      <c r="N632" s="2">
        <v>45923</v>
      </c>
      <c r="O632" s="2">
        <v>45920</v>
      </c>
      <c r="P632" s="1" t="s">
        <v>25</v>
      </c>
      <c r="Q632" s="1" t="s">
        <v>21</v>
      </c>
      <c r="R632" s="1" t="s">
        <v>22</v>
      </c>
      <c r="S632">
        <v>322</v>
      </c>
      <c r="T632" s="1" t="s">
        <v>1666</v>
      </c>
    </row>
    <row r="633" spans="1:20" x14ac:dyDescent="0.3">
      <c r="A633" s="1" t="s">
        <v>1667</v>
      </c>
      <c r="B633" s="1" t="s">
        <v>28</v>
      </c>
      <c r="C633">
        <v>29</v>
      </c>
      <c r="D633" s="1" t="s">
        <v>23</v>
      </c>
      <c r="E633" s="1" t="s">
        <v>36</v>
      </c>
      <c r="F633" s="1" t="s">
        <v>109</v>
      </c>
      <c r="G633" s="1" t="s">
        <v>125</v>
      </c>
      <c r="H633" s="1" t="s">
        <v>165</v>
      </c>
      <c r="I633">
        <v>860</v>
      </c>
      <c r="J633">
        <v>4445</v>
      </c>
      <c r="K633">
        <v>1932</v>
      </c>
      <c r="L633">
        <v>2506</v>
      </c>
      <c r="M633">
        <v>9743</v>
      </c>
      <c r="N633" s="2">
        <v>45836</v>
      </c>
      <c r="O633" s="2">
        <v>46020</v>
      </c>
      <c r="P633" s="1" t="s">
        <v>110</v>
      </c>
      <c r="Q633" s="1" t="s">
        <v>9</v>
      </c>
      <c r="R633" s="1" t="s">
        <v>17</v>
      </c>
      <c r="S633">
        <v>624</v>
      </c>
      <c r="T633" s="1" t="s">
        <v>1668</v>
      </c>
    </row>
    <row r="634" spans="1:20" x14ac:dyDescent="0.3">
      <c r="A634" s="1" t="s">
        <v>1669</v>
      </c>
      <c r="B634" s="1" t="s">
        <v>108</v>
      </c>
      <c r="C634">
        <v>23</v>
      </c>
      <c r="D634" s="1" t="s">
        <v>23</v>
      </c>
      <c r="E634" s="1" t="s">
        <v>27</v>
      </c>
      <c r="F634" s="1" t="s">
        <v>124</v>
      </c>
      <c r="G634" s="1" t="s">
        <v>125</v>
      </c>
      <c r="H634" s="1" t="s">
        <v>155</v>
      </c>
      <c r="I634">
        <v>510</v>
      </c>
      <c r="J634">
        <v>3052</v>
      </c>
      <c r="K634">
        <v>1657</v>
      </c>
      <c r="L634">
        <v>14010</v>
      </c>
      <c r="M634">
        <v>19229</v>
      </c>
      <c r="N634" s="2">
        <v>45763</v>
      </c>
      <c r="O634" s="2">
        <v>45907</v>
      </c>
      <c r="P634" s="1" t="s">
        <v>93</v>
      </c>
      <c r="Q634" s="1" t="s">
        <v>21</v>
      </c>
      <c r="R634" s="1" t="s">
        <v>17</v>
      </c>
      <c r="S634">
        <v>737</v>
      </c>
      <c r="T634" s="1" t="s">
        <v>1670</v>
      </c>
    </row>
    <row r="635" spans="1:20" x14ac:dyDescent="0.3">
      <c r="A635" s="1" t="s">
        <v>1671</v>
      </c>
      <c r="B635" s="1" t="s">
        <v>703</v>
      </c>
      <c r="C635">
        <v>55</v>
      </c>
      <c r="D635" s="1" t="s">
        <v>23</v>
      </c>
      <c r="E635" s="1" t="s">
        <v>38</v>
      </c>
      <c r="F635" s="1" t="s">
        <v>97</v>
      </c>
      <c r="G635" s="1" t="s">
        <v>91</v>
      </c>
      <c r="H635" s="1" t="s">
        <v>99</v>
      </c>
      <c r="I635">
        <v>431</v>
      </c>
      <c r="J635">
        <v>4181</v>
      </c>
      <c r="K635">
        <v>1670</v>
      </c>
      <c r="L635">
        <v>1553</v>
      </c>
      <c r="M635">
        <v>7835</v>
      </c>
      <c r="N635" s="2">
        <v>45919</v>
      </c>
      <c r="O635" s="2">
        <v>45787</v>
      </c>
      <c r="P635" s="1" t="s">
        <v>136</v>
      </c>
      <c r="Q635" s="1" t="s">
        <v>21</v>
      </c>
      <c r="R635" s="1" t="s">
        <v>17</v>
      </c>
      <c r="S635">
        <v>130</v>
      </c>
      <c r="T635" s="1" t="s">
        <v>1672</v>
      </c>
    </row>
    <row r="636" spans="1:20" x14ac:dyDescent="0.3">
      <c r="A636" s="1" t="s">
        <v>1673</v>
      </c>
      <c r="B636" s="1" t="s">
        <v>713</v>
      </c>
      <c r="C636">
        <v>55</v>
      </c>
      <c r="D636" s="1" t="s">
        <v>23</v>
      </c>
      <c r="E636" s="1" t="s">
        <v>24</v>
      </c>
      <c r="F636" s="1" t="s">
        <v>97</v>
      </c>
      <c r="G636" s="1" t="s">
        <v>158</v>
      </c>
      <c r="H636" s="1" t="s">
        <v>105</v>
      </c>
      <c r="I636">
        <v>448</v>
      </c>
      <c r="J636">
        <v>2262</v>
      </c>
      <c r="K636">
        <v>5681</v>
      </c>
      <c r="L636">
        <v>7089</v>
      </c>
      <c r="M636">
        <v>15480</v>
      </c>
      <c r="N636" s="2">
        <v>45848</v>
      </c>
      <c r="O636" s="2">
        <v>45732</v>
      </c>
      <c r="P636" s="1" t="s">
        <v>177</v>
      </c>
      <c r="Q636" s="1" t="s">
        <v>21</v>
      </c>
      <c r="R636" s="1" t="s">
        <v>87</v>
      </c>
      <c r="S636">
        <v>111</v>
      </c>
      <c r="T636" s="1" t="s">
        <v>1674</v>
      </c>
    </row>
    <row r="637" spans="1:20" x14ac:dyDescent="0.3">
      <c r="A637" s="1" t="s">
        <v>1675</v>
      </c>
      <c r="B637" s="1" t="s">
        <v>39</v>
      </c>
      <c r="C637">
        <v>60</v>
      </c>
      <c r="D637" s="1" t="s">
        <v>12</v>
      </c>
      <c r="E637" s="1" t="s">
        <v>36</v>
      </c>
      <c r="F637" s="1" t="s">
        <v>84</v>
      </c>
      <c r="G637" s="1" t="s">
        <v>104</v>
      </c>
      <c r="H637" s="1" t="s">
        <v>37</v>
      </c>
      <c r="I637">
        <v>1089</v>
      </c>
      <c r="J637">
        <v>2823</v>
      </c>
      <c r="K637">
        <v>5229</v>
      </c>
      <c r="L637">
        <v>4476</v>
      </c>
      <c r="M637">
        <v>13617</v>
      </c>
      <c r="N637" s="2">
        <v>45927</v>
      </c>
      <c r="O637" s="2">
        <v>45769</v>
      </c>
      <c r="P637" s="1" t="s">
        <v>35</v>
      </c>
      <c r="Q637" s="1" t="s">
        <v>16</v>
      </c>
      <c r="R637" s="1" t="s">
        <v>87</v>
      </c>
      <c r="S637">
        <v>761</v>
      </c>
      <c r="T637" s="1" t="s">
        <v>1676</v>
      </c>
    </row>
    <row r="638" spans="1:20" x14ac:dyDescent="0.3">
      <c r="A638" s="1" t="s">
        <v>1677</v>
      </c>
      <c r="B638" s="1" t="s">
        <v>1232</v>
      </c>
      <c r="C638">
        <v>41</v>
      </c>
      <c r="D638" s="1" t="s">
        <v>23</v>
      </c>
      <c r="E638" s="1" t="s">
        <v>27</v>
      </c>
      <c r="F638" s="1" t="s">
        <v>84</v>
      </c>
      <c r="G638" s="1" t="s">
        <v>85</v>
      </c>
      <c r="H638" s="1" t="s">
        <v>29</v>
      </c>
      <c r="I638">
        <v>1311</v>
      </c>
      <c r="J638">
        <v>4584</v>
      </c>
      <c r="K638">
        <v>683</v>
      </c>
      <c r="L638">
        <v>5496</v>
      </c>
      <c r="M638">
        <v>12074</v>
      </c>
      <c r="N638" s="2">
        <v>45873</v>
      </c>
      <c r="O638" s="2">
        <v>45719</v>
      </c>
      <c r="P638" s="1" t="s">
        <v>35</v>
      </c>
      <c r="Q638" s="1" t="s">
        <v>21</v>
      </c>
      <c r="R638" s="1" t="s">
        <v>87</v>
      </c>
      <c r="S638">
        <v>492</v>
      </c>
      <c r="T638" s="1" t="s">
        <v>1678</v>
      </c>
    </row>
    <row r="639" spans="1:20" x14ac:dyDescent="0.3">
      <c r="A639" s="1" t="s">
        <v>1679</v>
      </c>
      <c r="B639" s="1" t="s">
        <v>572</v>
      </c>
      <c r="C639">
        <v>37</v>
      </c>
      <c r="D639" s="1" t="s">
        <v>23</v>
      </c>
      <c r="E639" s="1" t="s">
        <v>33</v>
      </c>
      <c r="F639" s="1" t="s">
        <v>103</v>
      </c>
      <c r="G639" s="1" t="s">
        <v>91</v>
      </c>
      <c r="H639" s="1" t="s">
        <v>92</v>
      </c>
      <c r="I639">
        <v>882</v>
      </c>
      <c r="J639">
        <v>1573</v>
      </c>
      <c r="K639">
        <v>7194</v>
      </c>
      <c r="L639">
        <v>7599</v>
      </c>
      <c r="M639">
        <v>17248</v>
      </c>
      <c r="N639" s="2">
        <v>45676</v>
      </c>
      <c r="O639" s="2">
        <v>45931</v>
      </c>
      <c r="P639" s="1" t="s">
        <v>110</v>
      </c>
      <c r="Q639" s="1" t="s">
        <v>16</v>
      </c>
      <c r="R639" s="1" t="s">
        <v>22</v>
      </c>
      <c r="S639">
        <v>581</v>
      </c>
      <c r="T639" s="1" t="s">
        <v>1680</v>
      </c>
    </row>
    <row r="640" spans="1:20" x14ac:dyDescent="0.3">
      <c r="A640" s="1" t="s">
        <v>1681</v>
      </c>
      <c r="B640" s="1" t="s">
        <v>46</v>
      </c>
      <c r="C640">
        <v>36</v>
      </c>
      <c r="D640" s="1" t="s">
        <v>12</v>
      </c>
      <c r="E640" s="1" t="s">
        <v>27</v>
      </c>
      <c r="F640" s="1" t="s">
        <v>97</v>
      </c>
      <c r="G640" s="1" t="s">
        <v>125</v>
      </c>
      <c r="H640" s="1" t="s">
        <v>155</v>
      </c>
      <c r="I640">
        <v>463</v>
      </c>
      <c r="J640">
        <v>3065</v>
      </c>
      <c r="K640">
        <v>4345</v>
      </c>
      <c r="L640">
        <v>11032</v>
      </c>
      <c r="M640">
        <v>18905</v>
      </c>
      <c r="N640" s="2">
        <v>45682</v>
      </c>
      <c r="O640" s="2">
        <v>45859</v>
      </c>
      <c r="P640" s="1" t="s">
        <v>14</v>
      </c>
      <c r="Q640" s="1" t="s">
        <v>16</v>
      </c>
      <c r="R640" s="1" t="s">
        <v>17</v>
      </c>
      <c r="S640">
        <v>732</v>
      </c>
      <c r="T640" s="1" t="s">
        <v>1682</v>
      </c>
    </row>
    <row r="641" spans="1:20" x14ac:dyDescent="0.3">
      <c r="A641" s="1" t="s">
        <v>1683</v>
      </c>
      <c r="B641" s="1" t="s">
        <v>481</v>
      </c>
      <c r="C641">
        <v>7</v>
      </c>
      <c r="D641" s="1" t="s">
        <v>23</v>
      </c>
      <c r="E641" s="1" t="s">
        <v>33</v>
      </c>
      <c r="F641" s="1" t="s">
        <v>109</v>
      </c>
      <c r="G641" s="1" t="s">
        <v>104</v>
      </c>
      <c r="H641" s="1" t="s">
        <v>13</v>
      </c>
      <c r="I641">
        <v>961</v>
      </c>
      <c r="J641">
        <v>4069</v>
      </c>
      <c r="K641">
        <v>2154</v>
      </c>
      <c r="L641">
        <v>3788</v>
      </c>
      <c r="M641">
        <v>10972</v>
      </c>
      <c r="N641" s="2">
        <v>45703</v>
      </c>
      <c r="O641" s="2">
        <v>45755</v>
      </c>
      <c r="P641" s="1" t="s">
        <v>177</v>
      </c>
      <c r="Q641" s="1" t="s">
        <v>16</v>
      </c>
      <c r="R641" s="1" t="s">
        <v>17</v>
      </c>
      <c r="S641">
        <v>903</v>
      </c>
      <c r="T641" s="1" t="s">
        <v>1684</v>
      </c>
    </row>
    <row r="642" spans="1:20" x14ac:dyDescent="0.3">
      <c r="A642" s="1" t="s">
        <v>1685</v>
      </c>
      <c r="B642" s="1" t="s">
        <v>753</v>
      </c>
      <c r="C642">
        <v>39</v>
      </c>
      <c r="D642" s="1" t="s">
        <v>23</v>
      </c>
      <c r="E642" s="1" t="s">
        <v>24</v>
      </c>
      <c r="F642" s="1" t="s">
        <v>124</v>
      </c>
      <c r="G642" s="1" t="s">
        <v>85</v>
      </c>
      <c r="H642" s="1" t="s">
        <v>186</v>
      </c>
      <c r="I642">
        <v>1077</v>
      </c>
      <c r="J642">
        <v>2711</v>
      </c>
      <c r="K642">
        <v>6023</v>
      </c>
      <c r="L642">
        <v>3790</v>
      </c>
      <c r="M642">
        <v>13601</v>
      </c>
      <c r="N642" s="2">
        <v>45728</v>
      </c>
      <c r="O642" s="2">
        <v>45956</v>
      </c>
      <c r="P642" s="1" t="s">
        <v>116</v>
      </c>
      <c r="Q642" s="1" t="s">
        <v>21</v>
      </c>
      <c r="R642" s="1" t="s">
        <v>22</v>
      </c>
      <c r="S642">
        <v>871</v>
      </c>
      <c r="T642" s="1" t="s">
        <v>1686</v>
      </c>
    </row>
    <row r="643" spans="1:20" x14ac:dyDescent="0.3">
      <c r="A643" s="1" t="s">
        <v>1687</v>
      </c>
      <c r="B643" s="1" t="s">
        <v>1320</v>
      </c>
      <c r="C643">
        <v>16</v>
      </c>
      <c r="D643" s="1" t="s">
        <v>23</v>
      </c>
      <c r="E643" s="1" t="s">
        <v>36</v>
      </c>
      <c r="F643" s="1" t="s">
        <v>135</v>
      </c>
      <c r="G643" s="1" t="s">
        <v>176</v>
      </c>
      <c r="H643" s="1" t="s">
        <v>215</v>
      </c>
      <c r="I643">
        <v>874</v>
      </c>
      <c r="J643">
        <v>3137</v>
      </c>
      <c r="K643">
        <v>6629</v>
      </c>
      <c r="L643">
        <v>12974</v>
      </c>
      <c r="M643">
        <v>23614</v>
      </c>
      <c r="N643" s="2">
        <v>45905</v>
      </c>
      <c r="O643" s="2">
        <v>45773</v>
      </c>
      <c r="P643" s="1" t="s">
        <v>35</v>
      </c>
      <c r="Q643" s="1" t="s">
        <v>21</v>
      </c>
      <c r="R643" s="1" t="s">
        <v>87</v>
      </c>
      <c r="S643">
        <v>184</v>
      </c>
      <c r="T643" s="1" t="s">
        <v>1688</v>
      </c>
    </row>
    <row r="644" spans="1:20" x14ac:dyDescent="0.3">
      <c r="A644" s="1" t="s">
        <v>1689</v>
      </c>
      <c r="B644" s="1" t="s">
        <v>1064</v>
      </c>
      <c r="C644">
        <v>85</v>
      </c>
      <c r="D644" s="1" t="s">
        <v>23</v>
      </c>
      <c r="E644" s="1" t="s">
        <v>38</v>
      </c>
      <c r="F644" s="1" t="s">
        <v>114</v>
      </c>
      <c r="G644" s="1" t="s">
        <v>85</v>
      </c>
      <c r="H644" s="1" t="s">
        <v>37</v>
      </c>
      <c r="I644">
        <v>1312</v>
      </c>
      <c r="J644">
        <v>993</v>
      </c>
      <c r="K644">
        <v>2040</v>
      </c>
      <c r="L644">
        <v>1215</v>
      </c>
      <c r="M644">
        <v>5560</v>
      </c>
      <c r="N644" s="2">
        <v>46001</v>
      </c>
      <c r="O644" s="2">
        <v>45768</v>
      </c>
      <c r="P644" s="1" t="s">
        <v>116</v>
      </c>
      <c r="Q644" s="1" t="s">
        <v>9</v>
      </c>
      <c r="R644" s="1" t="s">
        <v>22</v>
      </c>
      <c r="S644">
        <v>448</v>
      </c>
      <c r="T644" s="1" t="s">
        <v>1690</v>
      </c>
    </row>
    <row r="645" spans="1:20" x14ac:dyDescent="0.3">
      <c r="A645" s="1" t="s">
        <v>1691</v>
      </c>
      <c r="B645" s="1" t="s">
        <v>236</v>
      </c>
      <c r="C645">
        <v>66</v>
      </c>
      <c r="D645" s="1" t="s">
        <v>12</v>
      </c>
      <c r="E645" s="1" t="s">
        <v>27</v>
      </c>
      <c r="F645" s="1" t="s">
        <v>124</v>
      </c>
      <c r="G645" s="1" t="s">
        <v>176</v>
      </c>
      <c r="H645" s="1" t="s">
        <v>92</v>
      </c>
      <c r="I645">
        <v>615</v>
      </c>
      <c r="J645">
        <v>4632</v>
      </c>
      <c r="K645">
        <v>1165</v>
      </c>
      <c r="L645">
        <v>3130</v>
      </c>
      <c r="M645">
        <v>9542</v>
      </c>
      <c r="N645" s="2">
        <v>45770</v>
      </c>
      <c r="O645" s="2">
        <v>45844</v>
      </c>
      <c r="P645" s="1" t="s">
        <v>93</v>
      </c>
      <c r="Q645" s="1" t="s">
        <v>31</v>
      </c>
      <c r="R645" s="1" t="s">
        <v>17</v>
      </c>
      <c r="S645">
        <v>292</v>
      </c>
      <c r="T645" s="1" t="s">
        <v>1692</v>
      </c>
    </row>
    <row r="646" spans="1:20" x14ac:dyDescent="0.3">
      <c r="A646" s="1" t="s">
        <v>1693</v>
      </c>
      <c r="B646" s="1" t="s">
        <v>697</v>
      </c>
      <c r="C646">
        <v>22</v>
      </c>
      <c r="D646" s="1" t="s">
        <v>12</v>
      </c>
      <c r="E646" s="1" t="s">
        <v>15</v>
      </c>
      <c r="F646" s="1" t="s">
        <v>114</v>
      </c>
      <c r="G646" s="1" t="s">
        <v>91</v>
      </c>
      <c r="H646" s="1" t="s">
        <v>86</v>
      </c>
      <c r="I646">
        <v>1244</v>
      </c>
      <c r="J646">
        <v>1377</v>
      </c>
      <c r="K646">
        <v>6403</v>
      </c>
      <c r="L646">
        <v>2805</v>
      </c>
      <c r="M646">
        <v>11829</v>
      </c>
      <c r="N646" s="2">
        <v>45781</v>
      </c>
      <c r="O646" s="2">
        <v>45666</v>
      </c>
      <c r="P646" s="1" t="s">
        <v>116</v>
      </c>
      <c r="Q646" s="1" t="s">
        <v>16</v>
      </c>
      <c r="R646" s="1" t="s">
        <v>17</v>
      </c>
      <c r="S646">
        <v>777</v>
      </c>
      <c r="T646" s="1" t="s">
        <v>1694</v>
      </c>
    </row>
    <row r="647" spans="1:20" x14ac:dyDescent="0.3">
      <c r="A647" s="1" t="s">
        <v>1695</v>
      </c>
      <c r="B647" s="1" t="s">
        <v>586</v>
      </c>
      <c r="C647">
        <v>34</v>
      </c>
      <c r="D647" s="1" t="s">
        <v>23</v>
      </c>
      <c r="E647" s="1" t="s">
        <v>20</v>
      </c>
      <c r="F647" s="1" t="s">
        <v>114</v>
      </c>
      <c r="G647" s="1" t="s">
        <v>158</v>
      </c>
      <c r="H647" s="1" t="s">
        <v>99</v>
      </c>
      <c r="I647">
        <v>1183</v>
      </c>
      <c r="J647">
        <v>2237</v>
      </c>
      <c r="K647">
        <v>1533</v>
      </c>
      <c r="L647">
        <v>7503</v>
      </c>
      <c r="M647">
        <v>12456</v>
      </c>
      <c r="N647" s="2">
        <v>45915</v>
      </c>
      <c r="O647" s="2">
        <v>45878</v>
      </c>
      <c r="P647" s="1" t="s">
        <v>110</v>
      </c>
      <c r="Q647" s="1" t="s">
        <v>9</v>
      </c>
      <c r="R647" s="1" t="s">
        <v>17</v>
      </c>
      <c r="S647">
        <v>478</v>
      </c>
      <c r="T647" s="1" t="s">
        <v>1696</v>
      </c>
    </row>
    <row r="648" spans="1:20" x14ac:dyDescent="0.3">
      <c r="A648" s="1" t="s">
        <v>1697</v>
      </c>
      <c r="B648" s="1" t="s">
        <v>370</v>
      </c>
      <c r="C648">
        <v>55</v>
      </c>
      <c r="D648" s="1" t="s">
        <v>23</v>
      </c>
      <c r="E648" s="1" t="s">
        <v>38</v>
      </c>
      <c r="F648" s="1" t="s">
        <v>124</v>
      </c>
      <c r="G648" s="1" t="s">
        <v>158</v>
      </c>
      <c r="H648" s="1" t="s">
        <v>115</v>
      </c>
      <c r="I648">
        <v>1124</v>
      </c>
      <c r="J648">
        <v>1947</v>
      </c>
      <c r="K648">
        <v>5166</v>
      </c>
      <c r="L648">
        <v>5520</v>
      </c>
      <c r="M648">
        <v>13757</v>
      </c>
      <c r="N648" s="2">
        <v>45929</v>
      </c>
      <c r="O648" s="2">
        <v>45969</v>
      </c>
      <c r="P648" s="1" t="s">
        <v>116</v>
      </c>
      <c r="Q648" s="1" t="s">
        <v>16</v>
      </c>
      <c r="R648" s="1" t="s">
        <v>87</v>
      </c>
      <c r="S648">
        <v>354</v>
      </c>
      <c r="T648" s="1" t="s">
        <v>1698</v>
      </c>
    </row>
    <row r="649" spans="1:20" x14ac:dyDescent="0.3">
      <c r="A649" s="1" t="s">
        <v>1699</v>
      </c>
      <c r="B649" s="1" t="s">
        <v>264</v>
      </c>
      <c r="C649">
        <v>7</v>
      </c>
      <c r="D649" s="1" t="s">
        <v>23</v>
      </c>
      <c r="E649" s="1" t="s">
        <v>38</v>
      </c>
      <c r="F649" s="1" t="s">
        <v>124</v>
      </c>
      <c r="G649" s="1" t="s">
        <v>125</v>
      </c>
      <c r="H649" s="1" t="s">
        <v>105</v>
      </c>
      <c r="I649">
        <v>434</v>
      </c>
      <c r="J649">
        <v>4859</v>
      </c>
      <c r="K649">
        <v>1127</v>
      </c>
      <c r="L649">
        <v>5513</v>
      </c>
      <c r="M649">
        <v>11933</v>
      </c>
      <c r="N649" s="2">
        <v>45773</v>
      </c>
      <c r="O649" s="2">
        <v>45975</v>
      </c>
      <c r="P649" s="1" t="s">
        <v>93</v>
      </c>
      <c r="Q649" s="1" t="s">
        <v>16</v>
      </c>
      <c r="R649" s="1" t="s">
        <v>22</v>
      </c>
      <c r="S649">
        <v>851</v>
      </c>
      <c r="T649" s="1" t="s">
        <v>1700</v>
      </c>
    </row>
    <row r="650" spans="1:20" x14ac:dyDescent="0.3">
      <c r="A650" s="1" t="s">
        <v>1701</v>
      </c>
      <c r="B650" s="1" t="s">
        <v>1592</v>
      </c>
      <c r="C650">
        <v>27</v>
      </c>
      <c r="D650" s="1" t="s">
        <v>23</v>
      </c>
      <c r="E650" s="1" t="s">
        <v>27</v>
      </c>
      <c r="F650" s="1" t="s">
        <v>84</v>
      </c>
      <c r="G650" s="1" t="s">
        <v>104</v>
      </c>
      <c r="H650" s="1" t="s">
        <v>99</v>
      </c>
      <c r="I650">
        <v>889</v>
      </c>
      <c r="J650">
        <v>2859</v>
      </c>
      <c r="K650">
        <v>6311</v>
      </c>
      <c r="L650">
        <v>1050</v>
      </c>
      <c r="M650">
        <v>11109</v>
      </c>
      <c r="N650" s="2">
        <v>45706</v>
      </c>
      <c r="O650" s="2">
        <v>45752</v>
      </c>
      <c r="P650" s="1" t="s">
        <v>110</v>
      </c>
      <c r="Q650" s="1" t="s">
        <v>21</v>
      </c>
      <c r="R650" s="1" t="s">
        <v>87</v>
      </c>
      <c r="S650">
        <v>344</v>
      </c>
      <c r="T650" s="1" t="s">
        <v>1702</v>
      </c>
    </row>
    <row r="651" spans="1:20" x14ac:dyDescent="0.3">
      <c r="A651" s="1" t="s">
        <v>1703</v>
      </c>
      <c r="B651" s="1" t="s">
        <v>41</v>
      </c>
      <c r="C651">
        <v>22</v>
      </c>
      <c r="D651" s="1" t="s">
        <v>23</v>
      </c>
      <c r="E651" s="1" t="s">
        <v>15</v>
      </c>
      <c r="F651" s="1" t="s">
        <v>97</v>
      </c>
      <c r="G651" s="1" t="s">
        <v>91</v>
      </c>
      <c r="H651" s="1" t="s">
        <v>92</v>
      </c>
      <c r="I651">
        <v>590</v>
      </c>
      <c r="J651">
        <v>604</v>
      </c>
      <c r="K651">
        <v>5756</v>
      </c>
      <c r="L651">
        <v>8775</v>
      </c>
      <c r="M651">
        <v>15725</v>
      </c>
      <c r="N651" s="2">
        <v>45877</v>
      </c>
      <c r="O651" s="2">
        <v>45829</v>
      </c>
      <c r="P651" s="1" t="s">
        <v>34</v>
      </c>
      <c r="Q651" s="1" t="s">
        <v>16</v>
      </c>
      <c r="R651" s="1" t="s">
        <v>22</v>
      </c>
      <c r="S651">
        <v>795</v>
      </c>
      <c r="T651" s="1" t="s">
        <v>1704</v>
      </c>
    </row>
    <row r="652" spans="1:20" x14ac:dyDescent="0.3">
      <c r="A652" s="1" t="s">
        <v>1705</v>
      </c>
      <c r="B652" s="1" t="s">
        <v>218</v>
      </c>
      <c r="C652">
        <v>46</v>
      </c>
      <c r="D652" s="1" t="s">
        <v>12</v>
      </c>
      <c r="E652" s="1" t="s">
        <v>40</v>
      </c>
      <c r="F652" s="1" t="s">
        <v>103</v>
      </c>
      <c r="G652" s="1" t="s">
        <v>98</v>
      </c>
      <c r="H652" s="1" t="s">
        <v>215</v>
      </c>
      <c r="I652">
        <v>806</v>
      </c>
      <c r="J652">
        <v>4371</v>
      </c>
      <c r="K652">
        <v>1196</v>
      </c>
      <c r="L652">
        <v>1740</v>
      </c>
      <c r="M652">
        <v>8113</v>
      </c>
      <c r="N652" s="2">
        <v>45666</v>
      </c>
      <c r="O652" s="2">
        <v>45948</v>
      </c>
      <c r="P652" s="1" t="s">
        <v>14</v>
      </c>
      <c r="Q652" s="1" t="s">
        <v>31</v>
      </c>
      <c r="R652" s="1" t="s">
        <v>22</v>
      </c>
      <c r="S652">
        <v>893</v>
      </c>
      <c r="T652" s="1" t="s">
        <v>1706</v>
      </c>
    </row>
    <row r="653" spans="1:20" x14ac:dyDescent="0.3">
      <c r="A653" s="1" t="s">
        <v>1707</v>
      </c>
      <c r="B653" s="1" t="s">
        <v>901</v>
      </c>
      <c r="C653">
        <v>43</v>
      </c>
      <c r="D653" s="1" t="s">
        <v>12</v>
      </c>
      <c r="E653" s="1" t="s">
        <v>33</v>
      </c>
      <c r="F653" s="1" t="s">
        <v>135</v>
      </c>
      <c r="G653" s="1" t="s">
        <v>176</v>
      </c>
      <c r="H653" s="1" t="s">
        <v>99</v>
      </c>
      <c r="I653">
        <v>1417</v>
      </c>
      <c r="J653">
        <v>2608</v>
      </c>
      <c r="K653">
        <v>5734</v>
      </c>
      <c r="L653">
        <v>8970</v>
      </c>
      <c r="M653">
        <v>18729</v>
      </c>
      <c r="N653" s="2">
        <v>45787</v>
      </c>
      <c r="O653" s="2">
        <v>45844</v>
      </c>
      <c r="P653" s="1" t="s">
        <v>116</v>
      </c>
      <c r="Q653" s="1" t="s">
        <v>21</v>
      </c>
      <c r="R653" s="1" t="s">
        <v>17</v>
      </c>
      <c r="S653">
        <v>827</v>
      </c>
      <c r="T653" s="1" t="s">
        <v>1708</v>
      </c>
    </row>
    <row r="654" spans="1:20" x14ac:dyDescent="0.3">
      <c r="A654" s="1" t="s">
        <v>1709</v>
      </c>
      <c r="B654" s="1" t="s">
        <v>1052</v>
      </c>
      <c r="C654">
        <v>62</v>
      </c>
      <c r="D654" s="1" t="s">
        <v>23</v>
      </c>
      <c r="E654" s="1" t="s">
        <v>27</v>
      </c>
      <c r="F654" s="1" t="s">
        <v>124</v>
      </c>
      <c r="G654" s="1" t="s">
        <v>158</v>
      </c>
      <c r="H654" s="1" t="s">
        <v>18</v>
      </c>
      <c r="I654">
        <v>602</v>
      </c>
      <c r="J654">
        <v>3861</v>
      </c>
      <c r="K654">
        <v>7314</v>
      </c>
      <c r="L654">
        <v>4608</v>
      </c>
      <c r="M654">
        <v>16385</v>
      </c>
      <c r="N654" s="2">
        <v>45995</v>
      </c>
      <c r="O654" s="2">
        <v>45730</v>
      </c>
      <c r="P654" s="1" t="s">
        <v>177</v>
      </c>
      <c r="Q654" s="1" t="s">
        <v>31</v>
      </c>
      <c r="R654" s="1" t="s">
        <v>87</v>
      </c>
      <c r="S654">
        <v>858</v>
      </c>
      <c r="T654" s="1" t="s">
        <v>1710</v>
      </c>
    </row>
    <row r="655" spans="1:20" x14ac:dyDescent="0.3">
      <c r="A655" s="1" t="s">
        <v>1711</v>
      </c>
      <c r="B655" s="1" t="s">
        <v>475</v>
      </c>
      <c r="C655">
        <v>27</v>
      </c>
      <c r="D655" s="1" t="s">
        <v>23</v>
      </c>
      <c r="E655" s="1" t="s">
        <v>15</v>
      </c>
      <c r="F655" s="1" t="s">
        <v>84</v>
      </c>
      <c r="G655" s="1" t="s">
        <v>91</v>
      </c>
      <c r="H655" s="1" t="s">
        <v>155</v>
      </c>
      <c r="I655">
        <v>521</v>
      </c>
      <c r="J655">
        <v>2743</v>
      </c>
      <c r="K655">
        <v>7485</v>
      </c>
      <c r="L655">
        <v>11270</v>
      </c>
      <c r="M655">
        <v>22019</v>
      </c>
      <c r="N655" s="2">
        <v>46005</v>
      </c>
      <c r="O655" s="2">
        <v>45936</v>
      </c>
      <c r="P655" s="1" t="s">
        <v>116</v>
      </c>
      <c r="Q655" s="1" t="s">
        <v>21</v>
      </c>
      <c r="R655" s="1" t="s">
        <v>17</v>
      </c>
      <c r="S655">
        <v>500</v>
      </c>
      <c r="T655" s="1" t="s">
        <v>1712</v>
      </c>
    </row>
    <row r="656" spans="1:20" x14ac:dyDescent="0.3">
      <c r="A656" s="1" t="s">
        <v>1713</v>
      </c>
      <c r="B656" s="1" t="s">
        <v>803</v>
      </c>
      <c r="C656">
        <v>40</v>
      </c>
      <c r="D656" s="1" t="s">
        <v>23</v>
      </c>
      <c r="E656" s="1" t="s">
        <v>24</v>
      </c>
      <c r="F656" s="1" t="s">
        <v>103</v>
      </c>
      <c r="G656" s="1" t="s">
        <v>158</v>
      </c>
      <c r="H656" s="1" t="s">
        <v>186</v>
      </c>
      <c r="I656">
        <v>551</v>
      </c>
      <c r="J656">
        <v>4050</v>
      </c>
      <c r="K656">
        <v>6815</v>
      </c>
      <c r="L656">
        <v>8455</v>
      </c>
      <c r="M656">
        <v>19871</v>
      </c>
      <c r="N656" s="2">
        <v>45948</v>
      </c>
      <c r="O656" s="2">
        <v>45835</v>
      </c>
      <c r="P656" s="1" t="s">
        <v>14</v>
      </c>
      <c r="Q656" s="1" t="s">
        <v>9</v>
      </c>
      <c r="R656" s="1" t="s">
        <v>87</v>
      </c>
      <c r="S656">
        <v>250</v>
      </c>
      <c r="T656" s="1" t="s">
        <v>1714</v>
      </c>
    </row>
    <row r="657" spans="1:20" x14ac:dyDescent="0.3">
      <c r="A657" s="1" t="s">
        <v>1715</v>
      </c>
      <c r="B657" s="1" t="s">
        <v>871</v>
      </c>
      <c r="C657">
        <v>38</v>
      </c>
      <c r="D657" s="1" t="s">
        <v>23</v>
      </c>
      <c r="E657" s="1" t="s">
        <v>40</v>
      </c>
      <c r="F657" s="1" t="s">
        <v>124</v>
      </c>
      <c r="G657" s="1" t="s">
        <v>91</v>
      </c>
      <c r="H657" s="1" t="s">
        <v>215</v>
      </c>
      <c r="I657">
        <v>890</v>
      </c>
      <c r="J657">
        <v>1029</v>
      </c>
      <c r="K657">
        <v>6851</v>
      </c>
      <c r="L657">
        <v>5828</v>
      </c>
      <c r="M657">
        <v>14598</v>
      </c>
      <c r="N657" s="2">
        <v>45665</v>
      </c>
      <c r="O657" s="2">
        <v>45890</v>
      </c>
      <c r="P657" s="1" t="s">
        <v>34</v>
      </c>
      <c r="Q657" s="1" t="s">
        <v>16</v>
      </c>
      <c r="R657" s="1" t="s">
        <v>22</v>
      </c>
      <c r="S657">
        <v>600</v>
      </c>
      <c r="T657" s="1" t="s">
        <v>1716</v>
      </c>
    </row>
    <row r="658" spans="1:20" x14ac:dyDescent="0.3">
      <c r="A658" s="1" t="s">
        <v>1717</v>
      </c>
      <c r="B658" s="1" t="s">
        <v>1718</v>
      </c>
      <c r="C658">
        <v>46</v>
      </c>
      <c r="D658" s="1" t="s">
        <v>23</v>
      </c>
      <c r="E658" s="1" t="s">
        <v>15</v>
      </c>
      <c r="F658" s="1" t="s">
        <v>103</v>
      </c>
      <c r="G658" s="1" t="s">
        <v>158</v>
      </c>
      <c r="H658" s="1" t="s">
        <v>165</v>
      </c>
      <c r="I658">
        <v>582</v>
      </c>
      <c r="J658">
        <v>3368</v>
      </c>
      <c r="K658">
        <v>7498</v>
      </c>
      <c r="L658">
        <v>5641</v>
      </c>
      <c r="M658">
        <v>17089</v>
      </c>
      <c r="N658" s="2">
        <v>45915</v>
      </c>
      <c r="O658" s="2">
        <v>45998</v>
      </c>
      <c r="P658" s="1" t="s">
        <v>110</v>
      </c>
      <c r="Q658" s="1" t="s">
        <v>21</v>
      </c>
      <c r="R658" s="1" t="s">
        <v>22</v>
      </c>
      <c r="S658">
        <v>850</v>
      </c>
      <c r="T658" s="1" t="s">
        <v>1719</v>
      </c>
    </row>
    <row r="659" spans="1:20" x14ac:dyDescent="0.3">
      <c r="A659" s="1" t="s">
        <v>1720</v>
      </c>
      <c r="B659" s="1" t="s">
        <v>1135</v>
      </c>
      <c r="C659">
        <v>11</v>
      </c>
      <c r="D659" s="1" t="s">
        <v>12</v>
      </c>
      <c r="E659" s="1" t="s">
        <v>38</v>
      </c>
      <c r="F659" s="1" t="s">
        <v>84</v>
      </c>
      <c r="G659" s="1" t="s">
        <v>125</v>
      </c>
      <c r="H659" s="1" t="s">
        <v>29</v>
      </c>
      <c r="I659">
        <v>1269</v>
      </c>
      <c r="J659">
        <v>3405</v>
      </c>
      <c r="K659">
        <v>2337</v>
      </c>
      <c r="L659">
        <v>14299</v>
      </c>
      <c r="M659">
        <v>21310</v>
      </c>
      <c r="N659" s="2">
        <v>46005</v>
      </c>
      <c r="O659" s="2">
        <v>45984</v>
      </c>
      <c r="P659" s="1" t="s">
        <v>93</v>
      </c>
      <c r="Q659" s="1" t="s">
        <v>16</v>
      </c>
      <c r="R659" s="1" t="s">
        <v>17</v>
      </c>
      <c r="S659">
        <v>409</v>
      </c>
      <c r="T659" s="1" t="s">
        <v>1721</v>
      </c>
    </row>
    <row r="660" spans="1:20" x14ac:dyDescent="0.3">
      <c r="A660" s="1" t="s">
        <v>1722</v>
      </c>
      <c r="B660" s="1" t="s">
        <v>578</v>
      </c>
      <c r="C660">
        <v>73</v>
      </c>
      <c r="D660" s="1" t="s">
        <v>12</v>
      </c>
      <c r="E660" s="1" t="s">
        <v>36</v>
      </c>
      <c r="F660" s="1" t="s">
        <v>97</v>
      </c>
      <c r="G660" s="1" t="s">
        <v>158</v>
      </c>
      <c r="H660" s="1" t="s">
        <v>86</v>
      </c>
      <c r="I660">
        <v>708</v>
      </c>
      <c r="J660">
        <v>2548</v>
      </c>
      <c r="K660">
        <v>1411</v>
      </c>
      <c r="L660">
        <v>7820</v>
      </c>
      <c r="M660">
        <v>12487</v>
      </c>
      <c r="N660" s="2">
        <v>45941</v>
      </c>
      <c r="O660" s="2">
        <v>45760</v>
      </c>
      <c r="P660" s="1" t="s">
        <v>14</v>
      </c>
      <c r="Q660" s="1" t="s">
        <v>21</v>
      </c>
      <c r="R660" s="1" t="s">
        <v>87</v>
      </c>
      <c r="S660">
        <v>743</v>
      </c>
      <c r="T660" s="1" t="s">
        <v>1723</v>
      </c>
    </row>
    <row r="661" spans="1:20" x14ac:dyDescent="0.3">
      <c r="A661" s="1" t="s">
        <v>1724</v>
      </c>
      <c r="B661" s="1" t="s">
        <v>1031</v>
      </c>
      <c r="C661">
        <v>49</v>
      </c>
      <c r="D661" s="1" t="s">
        <v>12</v>
      </c>
      <c r="E661" s="1" t="s">
        <v>27</v>
      </c>
      <c r="F661" s="1" t="s">
        <v>114</v>
      </c>
      <c r="G661" s="1" t="s">
        <v>91</v>
      </c>
      <c r="H661" s="1" t="s">
        <v>86</v>
      </c>
      <c r="I661">
        <v>1378</v>
      </c>
      <c r="J661">
        <v>4120</v>
      </c>
      <c r="K661">
        <v>5986</v>
      </c>
      <c r="L661">
        <v>6132</v>
      </c>
      <c r="M661">
        <v>17616</v>
      </c>
      <c r="N661" s="2">
        <v>45915</v>
      </c>
      <c r="O661" s="2">
        <v>46008</v>
      </c>
      <c r="P661" s="1" t="s">
        <v>177</v>
      </c>
      <c r="Q661" s="1" t="s">
        <v>9</v>
      </c>
      <c r="R661" s="1" t="s">
        <v>17</v>
      </c>
      <c r="S661">
        <v>530</v>
      </c>
      <c r="T661" s="1" t="s">
        <v>1725</v>
      </c>
    </row>
    <row r="662" spans="1:20" x14ac:dyDescent="0.3">
      <c r="A662" s="1" t="s">
        <v>1726</v>
      </c>
      <c r="B662" s="1" t="s">
        <v>43</v>
      </c>
      <c r="C662">
        <v>72</v>
      </c>
      <c r="D662" s="1" t="s">
        <v>23</v>
      </c>
      <c r="E662" s="1" t="s">
        <v>15</v>
      </c>
      <c r="F662" s="1" t="s">
        <v>120</v>
      </c>
      <c r="G662" s="1" t="s">
        <v>98</v>
      </c>
      <c r="H662" s="1" t="s">
        <v>37</v>
      </c>
      <c r="I662">
        <v>587</v>
      </c>
      <c r="J662">
        <v>2977</v>
      </c>
      <c r="K662">
        <v>6744</v>
      </c>
      <c r="L662">
        <v>4975</v>
      </c>
      <c r="M662">
        <v>15283</v>
      </c>
      <c r="N662" s="2">
        <v>45955</v>
      </c>
      <c r="O662" s="2">
        <v>45920</v>
      </c>
      <c r="P662" s="1" t="s">
        <v>177</v>
      </c>
      <c r="Q662" s="1" t="s">
        <v>21</v>
      </c>
      <c r="R662" s="1" t="s">
        <v>22</v>
      </c>
      <c r="S662">
        <v>873</v>
      </c>
      <c r="T662" s="1" t="s">
        <v>1727</v>
      </c>
    </row>
    <row r="663" spans="1:20" x14ac:dyDescent="0.3">
      <c r="A663" s="1" t="s">
        <v>1728</v>
      </c>
      <c r="B663" s="1" t="s">
        <v>273</v>
      </c>
      <c r="C663">
        <v>52</v>
      </c>
      <c r="D663" s="1" t="s">
        <v>23</v>
      </c>
      <c r="E663" s="1" t="s">
        <v>24</v>
      </c>
      <c r="F663" s="1" t="s">
        <v>135</v>
      </c>
      <c r="G663" s="1" t="s">
        <v>176</v>
      </c>
      <c r="H663" s="1" t="s">
        <v>92</v>
      </c>
      <c r="I663">
        <v>411</v>
      </c>
      <c r="J663">
        <v>1193</v>
      </c>
      <c r="K663">
        <v>748</v>
      </c>
      <c r="L663">
        <v>5426</v>
      </c>
      <c r="M663">
        <v>7778</v>
      </c>
      <c r="N663" s="2">
        <v>45990</v>
      </c>
      <c r="O663" s="2">
        <v>45712</v>
      </c>
      <c r="P663" s="1" t="s">
        <v>177</v>
      </c>
      <c r="Q663" s="1" t="s">
        <v>21</v>
      </c>
      <c r="R663" s="1" t="s">
        <v>87</v>
      </c>
      <c r="S663">
        <v>593</v>
      </c>
      <c r="T663" s="1" t="s">
        <v>1729</v>
      </c>
    </row>
    <row r="664" spans="1:20" x14ac:dyDescent="0.3">
      <c r="A664" s="1" t="s">
        <v>1730</v>
      </c>
      <c r="B664" s="1" t="s">
        <v>64</v>
      </c>
      <c r="C664">
        <v>16</v>
      </c>
      <c r="D664" s="1" t="s">
        <v>23</v>
      </c>
      <c r="E664" s="1" t="s">
        <v>36</v>
      </c>
      <c r="F664" s="1" t="s">
        <v>84</v>
      </c>
      <c r="G664" s="1" t="s">
        <v>104</v>
      </c>
      <c r="H664" s="1" t="s">
        <v>86</v>
      </c>
      <c r="I664">
        <v>1451</v>
      </c>
      <c r="J664">
        <v>4557</v>
      </c>
      <c r="K664">
        <v>1417</v>
      </c>
      <c r="L664">
        <v>4662</v>
      </c>
      <c r="M664">
        <v>12087</v>
      </c>
      <c r="N664" s="2">
        <v>46003</v>
      </c>
      <c r="O664" s="2">
        <v>45985</v>
      </c>
      <c r="P664" s="1" t="s">
        <v>25</v>
      </c>
      <c r="Q664" s="1" t="s">
        <v>21</v>
      </c>
      <c r="R664" s="1" t="s">
        <v>87</v>
      </c>
      <c r="S664">
        <v>106</v>
      </c>
      <c r="T664" s="1" t="s">
        <v>1731</v>
      </c>
    </row>
    <row r="665" spans="1:20" x14ac:dyDescent="0.3">
      <c r="A665" s="1" t="s">
        <v>1732</v>
      </c>
      <c r="B665" s="1" t="s">
        <v>1733</v>
      </c>
      <c r="C665">
        <v>26</v>
      </c>
      <c r="D665" s="1" t="s">
        <v>23</v>
      </c>
      <c r="E665" s="1" t="s">
        <v>27</v>
      </c>
      <c r="F665" s="1" t="s">
        <v>114</v>
      </c>
      <c r="G665" s="1" t="s">
        <v>158</v>
      </c>
      <c r="H665" s="1" t="s">
        <v>18</v>
      </c>
      <c r="I665">
        <v>613</v>
      </c>
      <c r="J665">
        <v>1491</v>
      </c>
      <c r="K665">
        <v>4558</v>
      </c>
      <c r="L665">
        <v>2587</v>
      </c>
      <c r="M665">
        <v>9249</v>
      </c>
      <c r="N665" s="2">
        <v>45784</v>
      </c>
      <c r="O665" s="2">
        <v>45762</v>
      </c>
      <c r="P665" s="1" t="s">
        <v>35</v>
      </c>
      <c r="Q665" s="1" t="s">
        <v>9</v>
      </c>
      <c r="R665" s="1" t="s">
        <v>17</v>
      </c>
      <c r="S665">
        <v>156</v>
      </c>
      <c r="T665" s="1" t="s">
        <v>1734</v>
      </c>
    </row>
    <row r="666" spans="1:20" x14ac:dyDescent="0.3">
      <c r="A666" s="1" t="s">
        <v>1735</v>
      </c>
      <c r="B666" s="1" t="s">
        <v>901</v>
      </c>
      <c r="C666">
        <v>52</v>
      </c>
      <c r="D666" s="1" t="s">
        <v>12</v>
      </c>
      <c r="E666" s="1" t="s">
        <v>24</v>
      </c>
      <c r="F666" s="1" t="s">
        <v>109</v>
      </c>
      <c r="G666" s="1" t="s">
        <v>125</v>
      </c>
      <c r="H666" s="1" t="s">
        <v>105</v>
      </c>
      <c r="I666">
        <v>1419</v>
      </c>
      <c r="J666">
        <v>2632</v>
      </c>
      <c r="K666">
        <v>7031</v>
      </c>
      <c r="L666">
        <v>11039</v>
      </c>
      <c r="M666">
        <v>22121</v>
      </c>
      <c r="N666" s="2">
        <v>46006</v>
      </c>
      <c r="O666" s="2">
        <v>45882</v>
      </c>
      <c r="P666" s="1" t="s">
        <v>136</v>
      </c>
      <c r="Q666" s="1" t="s">
        <v>31</v>
      </c>
      <c r="R666" s="1" t="s">
        <v>87</v>
      </c>
      <c r="S666">
        <v>122</v>
      </c>
      <c r="T666" s="1" t="s">
        <v>1736</v>
      </c>
    </row>
    <row r="667" spans="1:20" x14ac:dyDescent="0.3">
      <c r="A667" s="1" t="s">
        <v>1737</v>
      </c>
      <c r="B667" s="1" t="s">
        <v>344</v>
      </c>
      <c r="C667">
        <v>22</v>
      </c>
      <c r="D667" s="1" t="s">
        <v>23</v>
      </c>
      <c r="E667" s="1" t="s">
        <v>36</v>
      </c>
      <c r="F667" s="1" t="s">
        <v>135</v>
      </c>
      <c r="G667" s="1" t="s">
        <v>125</v>
      </c>
      <c r="H667" s="1" t="s">
        <v>215</v>
      </c>
      <c r="I667">
        <v>893</v>
      </c>
      <c r="J667">
        <v>2871</v>
      </c>
      <c r="K667">
        <v>5768</v>
      </c>
      <c r="L667">
        <v>2638</v>
      </c>
      <c r="M667">
        <v>12170</v>
      </c>
      <c r="N667" s="2">
        <v>45959</v>
      </c>
      <c r="O667" s="2">
        <v>45910</v>
      </c>
      <c r="P667" s="1" t="s">
        <v>177</v>
      </c>
      <c r="Q667" s="1" t="s">
        <v>9</v>
      </c>
      <c r="R667" s="1" t="s">
        <v>87</v>
      </c>
      <c r="S667">
        <v>919</v>
      </c>
      <c r="T667" s="1" t="s">
        <v>1738</v>
      </c>
    </row>
    <row r="668" spans="1:20" x14ac:dyDescent="0.3">
      <c r="A668" s="1" t="s">
        <v>1739</v>
      </c>
      <c r="B668" s="1" t="s">
        <v>1153</v>
      </c>
      <c r="C668">
        <v>55</v>
      </c>
      <c r="D668" s="1" t="s">
        <v>23</v>
      </c>
      <c r="E668" s="1" t="s">
        <v>33</v>
      </c>
      <c r="F668" s="1" t="s">
        <v>103</v>
      </c>
      <c r="G668" s="1" t="s">
        <v>104</v>
      </c>
      <c r="H668" s="1" t="s">
        <v>26</v>
      </c>
      <c r="I668">
        <v>1236</v>
      </c>
      <c r="J668">
        <v>1484</v>
      </c>
      <c r="K668">
        <v>4922</v>
      </c>
      <c r="L668">
        <v>7380</v>
      </c>
      <c r="M668">
        <v>15022</v>
      </c>
      <c r="N668" s="2">
        <v>45663</v>
      </c>
      <c r="O668" s="2">
        <v>45955</v>
      </c>
      <c r="P668" s="1" t="s">
        <v>14</v>
      </c>
      <c r="Q668" s="1" t="s">
        <v>9</v>
      </c>
      <c r="R668" s="1" t="s">
        <v>22</v>
      </c>
      <c r="S668">
        <v>463</v>
      </c>
      <c r="T668" s="1" t="s">
        <v>1740</v>
      </c>
    </row>
    <row r="669" spans="1:20" x14ac:dyDescent="0.3">
      <c r="A669" s="1" t="s">
        <v>1741</v>
      </c>
      <c r="B669" s="1" t="s">
        <v>853</v>
      </c>
      <c r="C669">
        <v>36</v>
      </c>
      <c r="D669" s="1" t="s">
        <v>23</v>
      </c>
      <c r="E669" s="1" t="s">
        <v>24</v>
      </c>
      <c r="F669" s="1" t="s">
        <v>109</v>
      </c>
      <c r="G669" s="1" t="s">
        <v>85</v>
      </c>
      <c r="H669" s="1" t="s">
        <v>99</v>
      </c>
      <c r="I669">
        <v>1325</v>
      </c>
      <c r="J669">
        <v>4622</v>
      </c>
      <c r="K669">
        <v>2026</v>
      </c>
      <c r="L669">
        <v>6715</v>
      </c>
      <c r="M669">
        <v>14688</v>
      </c>
      <c r="N669" s="2">
        <v>46019</v>
      </c>
      <c r="O669" s="2">
        <v>45926</v>
      </c>
      <c r="P669" s="1" t="s">
        <v>93</v>
      </c>
      <c r="Q669" s="1" t="s">
        <v>31</v>
      </c>
      <c r="R669" s="1" t="s">
        <v>17</v>
      </c>
      <c r="S669">
        <v>771</v>
      </c>
      <c r="T669" s="1" t="s">
        <v>1742</v>
      </c>
    </row>
    <row r="670" spans="1:20" x14ac:dyDescent="0.3">
      <c r="A670" s="1" t="s">
        <v>1743</v>
      </c>
      <c r="B670" s="1" t="s">
        <v>1744</v>
      </c>
      <c r="C670">
        <v>59</v>
      </c>
      <c r="D670" s="1" t="s">
        <v>23</v>
      </c>
      <c r="E670" s="1" t="s">
        <v>27</v>
      </c>
      <c r="F670" s="1" t="s">
        <v>124</v>
      </c>
      <c r="G670" s="1" t="s">
        <v>98</v>
      </c>
      <c r="H670" s="1" t="s">
        <v>26</v>
      </c>
      <c r="I670">
        <v>1106</v>
      </c>
      <c r="J670">
        <v>1058</v>
      </c>
      <c r="K670">
        <v>7805</v>
      </c>
      <c r="L670">
        <v>14751</v>
      </c>
      <c r="M670">
        <v>24720</v>
      </c>
      <c r="N670" s="2">
        <v>45988</v>
      </c>
      <c r="O670" s="2">
        <v>45905</v>
      </c>
      <c r="P670" s="1" t="s">
        <v>93</v>
      </c>
      <c r="Q670" s="1" t="s">
        <v>31</v>
      </c>
      <c r="R670" s="1" t="s">
        <v>87</v>
      </c>
      <c r="S670">
        <v>825</v>
      </c>
      <c r="T670" s="1" t="s">
        <v>1745</v>
      </c>
    </row>
    <row r="671" spans="1:20" x14ac:dyDescent="0.3">
      <c r="A671" s="1" t="s">
        <v>1746</v>
      </c>
      <c r="B671" s="1" t="s">
        <v>1747</v>
      </c>
      <c r="C671">
        <v>34</v>
      </c>
      <c r="D671" s="1" t="s">
        <v>23</v>
      </c>
      <c r="E671" s="1" t="s">
        <v>24</v>
      </c>
      <c r="F671" s="1" t="s">
        <v>97</v>
      </c>
      <c r="G671" s="1" t="s">
        <v>104</v>
      </c>
      <c r="H671" s="1" t="s">
        <v>99</v>
      </c>
      <c r="I671">
        <v>1497</v>
      </c>
      <c r="J671">
        <v>3807</v>
      </c>
      <c r="K671">
        <v>853</v>
      </c>
      <c r="L671">
        <v>1736</v>
      </c>
      <c r="M671">
        <v>7893</v>
      </c>
      <c r="N671" s="2">
        <v>45673</v>
      </c>
      <c r="O671" s="2">
        <v>45739</v>
      </c>
      <c r="P671" s="1" t="s">
        <v>19</v>
      </c>
      <c r="Q671" s="1" t="s">
        <v>16</v>
      </c>
      <c r="R671" s="1" t="s">
        <v>17</v>
      </c>
      <c r="S671">
        <v>795</v>
      </c>
      <c r="T671" s="1" t="s">
        <v>1748</v>
      </c>
    </row>
    <row r="672" spans="1:20" x14ac:dyDescent="0.3">
      <c r="A672" s="1" t="s">
        <v>1749</v>
      </c>
      <c r="B672" s="1" t="s">
        <v>62</v>
      </c>
      <c r="C672">
        <v>31</v>
      </c>
      <c r="D672" s="1" t="s">
        <v>23</v>
      </c>
      <c r="E672" s="1" t="s">
        <v>24</v>
      </c>
      <c r="F672" s="1" t="s">
        <v>109</v>
      </c>
      <c r="G672" s="1" t="s">
        <v>125</v>
      </c>
      <c r="H672" s="1" t="s">
        <v>155</v>
      </c>
      <c r="I672">
        <v>1160</v>
      </c>
      <c r="J672">
        <v>1027</v>
      </c>
      <c r="K672">
        <v>807</v>
      </c>
      <c r="L672">
        <v>11025</v>
      </c>
      <c r="M672">
        <v>14019</v>
      </c>
      <c r="N672" s="2">
        <v>45786</v>
      </c>
      <c r="O672" s="2">
        <v>45716</v>
      </c>
      <c r="P672" s="1" t="s">
        <v>34</v>
      </c>
      <c r="Q672" s="1" t="s">
        <v>21</v>
      </c>
      <c r="R672" s="1" t="s">
        <v>87</v>
      </c>
      <c r="S672">
        <v>746</v>
      </c>
      <c r="T672" s="1" t="s">
        <v>1750</v>
      </c>
    </row>
    <row r="673" spans="1:20" x14ac:dyDescent="0.3">
      <c r="A673" s="1" t="s">
        <v>1751</v>
      </c>
      <c r="B673" s="1" t="s">
        <v>1567</v>
      </c>
      <c r="C673">
        <v>42</v>
      </c>
      <c r="D673" s="1" t="s">
        <v>23</v>
      </c>
      <c r="E673" s="1" t="s">
        <v>40</v>
      </c>
      <c r="F673" s="1" t="s">
        <v>135</v>
      </c>
      <c r="G673" s="1" t="s">
        <v>85</v>
      </c>
      <c r="H673" s="1" t="s">
        <v>155</v>
      </c>
      <c r="I673">
        <v>572</v>
      </c>
      <c r="J673">
        <v>2136</v>
      </c>
      <c r="K673">
        <v>1903</v>
      </c>
      <c r="L673">
        <v>5136</v>
      </c>
      <c r="M673">
        <v>9747</v>
      </c>
      <c r="N673" s="2">
        <v>45909</v>
      </c>
      <c r="O673" s="2">
        <v>45882</v>
      </c>
      <c r="P673" s="1" t="s">
        <v>14</v>
      </c>
      <c r="Q673" s="1" t="s">
        <v>31</v>
      </c>
      <c r="R673" s="1" t="s">
        <v>17</v>
      </c>
      <c r="S673">
        <v>933</v>
      </c>
      <c r="T673" s="1" t="s">
        <v>1752</v>
      </c>
    </row>
    <row r="674" spans="1:20" x14ac:dyDescent="0.3">
      <c r="A674" s="1" t="s">
        <v>1753</v>
      </c>
      <c r="B674" s="1" t="s">
        <v>1011</v>
      </c>
      <c r="C674">
        <v>75</v>
      </c>
      <c r="D674" s="1" t="s">
        <v>23</v>
      </c>
      <c r="E674" s="1" t="s">
        <v>24</v>
      </c>
      <c r="F674" s="1" t="s">
        <v>114</v>
      </c>
      <c r="G674" s="1" t="s">
        <v>91</v>
      </c>
      <c r="H674" s="1" t="s">
        <v>115</v>
      </c>
      <c r="I674">
        <v>368</v>
      </c>
      <c r="J674">
        <v>1651</v>
      </c>
      <c r="K674">
        <v>7617</v>
      </c>
      <c r="L674">
        <v>1085</v>
      </c>
      <c r="M674">
        <v>10721</v>
      </c>
      <c r="N674" s="2">
        <v>45842</v>
      </c>
      <c r="O674" s="2">
        <v>45866</v>
      </c>
      <c r="P674" s="1" t="s">
        <v>136</v>
      </c>
      <c r="Q674" s="1" t="s">
        <v>31</v>
      </c>
      <c r="R674" s="1" t="s">
        <v>87</v>
      </c>
      <c r="S674">
        <v>847</v>
      </c>
      <c r="T674" s="1" t="s">
        <v>1754</v>
      </c>
    </row>
    <row r="675" spans="1:20" x14ac:dyDescent="0.3">
      <c r="A675" s="1" t="s">
        <v>1755</v>
      </c>
      <c r="B675" s="1" t="s">
        <v>877</v>
      </c>
      <c r="C675">
        <v>25</v>
      </c>
      <c r="D675" s="1" t="s">
        <v>23</v>
      </c>
      <c r="E675" s="1" t="s">
        <v>24</v>
      </c>
      <c r="F675" s="1" t="s">
        <v>135</v>
      </c>
      <c r="G675" s="1" t="s">
        <v>98</v>
      </c>
      <c r="H675" s="1" t="s">
        <v>99</v>
      </c>
      <c r="I675">
        <v>1030</v>
      </c>
      <c r="J675">
        <v>1629</v>
      </c>
      <c r="K675">
        <v>6866</v>
      </c>
      <c r="L675">
        <v>2100</v>
      </c>
      <c r="M675">
        <v>11625</v>
      </c>
      <c r="N675" s="2">
        <v>45882</v>
      </c>
      <c r="O675" s="2">
        <v>45876</v>
      </c>
      <c r="P675" s="1" t="s">
        <v>93</v>
      </c>
      <c r="Q675" s="1" t="s">
        <v>16</v>
      </c>
      <c r="R675" s="1" t="s">
        <v>22</v>
      </c>
      <c r="S675">
        <v>901</v>
      </c>
      <c r="T675" s="1" t="s">
        <v>1756</v>
      </c>
    </row>
    <row r="676" spans="1:20" x14ac:dyDescent="0.3">
      <c r="A676" s="1" t="s">
        <v>1757</v>
      </c>
      <c r="B676" s="1" t="s">
        <v>1758</v>
      </c>
      <c r="C676">
        <v>16</v>
      </c>
      <c r="D676" s="1" t="s">
        <v>12</v>
      </c>
      <c r="E676" s="1" t="s">
        <v>20</v>
      </c>
      <c r="F676" s="1" t="s">
        <v>84</v>
      </c>
      <c r="G676" s="1" t="s">
        <v>158</v>
      </c>
      <c r="H676" s="1" t="s">
        <v>29</v>
      </c>
      <c r="I676">
        <v>1407</v>
      </c>
      <c r="J676">
        <v>3210</v>
      </c>
      <c r="K676">
        <v>484</v>
      </c>
      <c r="L676">
        <v>4670</v>
      </c>
      <c r="M676">
        <v>9771</v>
      </c>
      <c r="N676" s="2">
        <v>45806</v>
      </c>
      <c r="O676" s="2">
        <v>45786</v>
      </c>
      <c r="P676" s="1" t="s">
        <v>93</v>
      </c>
      <c r="Q676" s="1" t="s">
        <v>31</v>
      </c>
      <c r="R676" s="1" t="s">
        <v>17</v>
      </c>
      <c r="S676">
        <v>176</v>
      </c>
      <c r="T676" s="1" t="s">
        <v>1759</v>
      </c>
    </row>
    <row r="677" spans="1:20" x14ac:dyDescent="0.3">
      <c r="A677" s="1" t="s">
        <v>1760</v>
      </c>
      <c r="B677" s="1" t="s">
        <v>325</v>
      </c>
      <c r="C677">
        <v>67</v>
      </c>
      <c r="D677" s="1" t="s">
        <v>12</v>
      </c>
      <c r="E677" s="1" t="s">
        <v>33</v>
      </c>
      <c r="F677" s="1" t="s">
        <v>120</v>
      </c>
      <c r="G677" s="1" t="s">
        <v>91</v>
      </c>
      <c r="H677" s="1" t="s">
        <v>29</v>
      </c>
      <c r="I677">
        <v>1418</v>
      </c>
      <c r="J677">
        <v>1408</v>
      </c>
      <c r="K677">
        <v>5074</v>
      </c>
      <c r="L677">
        <v>8716</v>
      </c>
      <c r="M677">
        <v>16616</v>
      </c>
      <c r="N677" s="2">
        <v>45792</v>
      </c>
      <c r="O677" s="2">
        <v>45992</v>
      </c>
      <c r="P677" s="1" t="s">
        <v>34</v>
      </c>
      <c r="Q677" s="1" t="s">
        <v>9</v>
      </c>
      <c r="R677" s="1" t="s">
        <v>17</v>
      </c>
      <c r="S677">
        <v>305</v>
      </c>
      <c r="T677" s="1" t="s">
        <v>1761</v>
      </c>
    </row>
    <row r="678" spans="1:20" x14ac:dyDescent="0.3">
      <c r="A678" s="1" t="s">
        <v>1762</v>
      </c>
      <c r="B678" s="1" t="s">
        <v>1138</v>
      </c>
      <c r="C678">
        <v>27</v>
      </c>
      <c r="D678" s="1" t="s">
        <v>12</v>
      </c>
      <c r="E678" s="1" t="s">
        <v>20</v>
      </c>
      <c r="F678" s="1" t="s">
        <v>103</v>
      </c>
      <c r="G678" s="1" t="s">
        <v>158</v>
      </c>
      <c r="H678" s="1" t="s">
        <v>105</v>
      </c>
      <c r="I678">
        <v>1310</v>
      </c>
      <c r="J678">
        <v>1097</v>
      </c>
      <c r="K678">
        <v>6899</v>
      </c>
      <c r="L678">
        <v>10238</v>
      </c>
      <c r="M678">
        <v>19544</v>
      </c>
      <c r="N678" s="2">
        <v>45970</v>
      </c>
      <c r="O678" s="2">
        <v>46017</v>
      </c>
      <c r="P678" s="1" t="s">
        <v>34</v>
      </c>
      <c r="Q678" s="1" t="s">
        <v>9</v>
      </c>
      <c r="R678" s="1" t="s">
        <v>87</v>
      </c>
      <c r="S678">
        <v>857</v>
      </c>
      <c r="T678" s="1" t="s">
        <v>1763</v>
      </c>
    </row>
    <row r="679" spans="1:20" x14ac:dyDescent="0.3">
      <c r="A679" s="1" t="s">
        <v>1764</v>
      </c>
      <c r="B679" s="1" t="s">
        <v>401</v>
      </c>
      <c r="C679">
        <v>62</v>
      </c>
      <c r="D679" s="1" t="s">
        <v>23</v>
      </c>
      <c r="E679" s="1" t="s">
        <v>38</v>
      </c>
      <c r="F679" s="1" t="s">
        <v>124</v>
      </c>
      <c r="G679" s="1" t="s">
        <v>125</v>
      </c>
      <c r="H679" s="1" t="s">
        <v>29</v>
      </c>
      <c r="I679">
        <v>513</v>
      </c>
      <c r="J679">
        <v>791</v>
      </c>
      <c r="K679">
        <v>4368</v>
      </c>
      <c r="L679">
        <v>9316</v>
      </c>
      <c r="M679">
        <v>14988</v>
      </c>
      <c r="N679" s="2">
        <v>45773</v>
      </c>
      <c r="O679" s="2">
        <v>45990</v>
      </c>
      <c r="P679" s="1" t="s">
        <v>177</v>
      </c>
      <c r="Q679" s="1" t="s">
        <v>21</v>
      </c>
      <c r="R679" s="1" t="s">
        <v>22</v>
      </c>
      <c r="S679">
        <v>121</v>
      </c>
      <c r="T679" s="1" t="s">
        <v>1765</v>
      </c>
    </row>
    <row r="680" spans="1:20" x14ac:dyDescent="0.3">
      <c r="A680" s="1" t="s">
        <v>1766</v>
      </c>
      <c r="B680" s="1" t="s">
        <v>1767</v>
      </c>
      <c r="C680">
        <v>26</v>
      </c>
      <c r="D680" s="1" t="s">
        <v>12</v>
      </c>
      <c r="E680" s="1" t="s">
        <v>38</v>
      </c>
      <c r="F680" s="1" t="s">
        <v>103</v>
      </c>
      <c r="G680" s="1" t="s">
        <v>98</v>
      </c>
      <c r="H680" s="1" t="s">
        <v>215</v>
      </c>
      <c r="I680">
        <v>406</v>
      </c>
      <c r="J680">
        <v>3671</v>
      </c>
      <c r="K680">
        <v>6572</v>
      </c>
      <c r="L680">
        <v>7180</v>
      </c>
      <c r="M680">
        <v>17829</v>
      </c>
      <c r="N680" s="2">
        <v>46014</v>
      </c>
      <c r="O680" s="2">
        <v>45722</v>
      </c>
      <c r="P680" s="1" t="s">
        <v>93</v>
      </c>
      <c r="Q680" s="1" t="s">
        <v>31</v>
      </c>
      <c r="R680" s="1" t="s">
        <v>22</v>
      </c>
      <c r="S680">
        <v>548</v>
      </c>
      <c r="T680" s="1" t="s">
        <v>1768</v>
      </c>
    </row>
    <row r="681" spans="1:20" x14ac:dyDescent="0.3">
      <c r="A681" s="1" t="s">
        <v>1769</v>
      </c>
      <c r="B681" s="1" t="s">
        <v>1770</v>
      </c>
      <c r="C681">
        <v>46</v>
      </c>
      <c r="D681" s="1" t="s">
        <v>23</v>
      </c>
      <c r="E681" s="1" t="s">
        <v>38</v>
      </c>
      <c r="F681" s="1" t="s">
        <v>97</v>
      </c>
      <c r="G681" s="1" t="s">
        <v>104</v>
      </c>
      <c r="H681" s="1" t="s">
        <v>199</v>
      </c>
      <c r="I681">
        <v>418</v>
      </c>
      <c r="J681">
        <v>2451</v>
      </c>
      <c r="K681">
        <v>2200</v>
      </c>
      <c r="L681">
        <v>2507</v>
      </c>
      <c r="M681">
        <v>7576</v>
      </c>
      <c r="N681" s="2">
        <v>45959</v>
      </c>
      <c r="O681" s="2">
        <v>45663</v>
      </c>
      <c r="P681" s="1" t="s">
        <v>19</v>
      </c>
      <c r="Q681" s="1" t="s">
        <v>16</v>
      </c>
      <c r="R681" s="1" t="s">
        <v>22</v>
      </c>
      <c r="S681">
        <v>994</v>
      </c>
      <c r="T681" s="1" t="s">
        <v>1771</v>
      </c>
    </row>
    <row r="682" spans="1:20" x14ac:dyDescent="0.3">
      <c r="A682" s="1" t="s">
        <v>1772</v>
      </c>
      <c r="B682" s="1" t="s">
        <v>599</v>
      </c>
      <c r="C682">
        <v>10</v>
      </c>
      <c r="D682" s="1" t="s">
        <v>23</v>
      </c>
      <c r="E682" s="1" t="s">
        <v>36</v>
      </c>
      <c r="F682" s="1" t="s">
        <v>109</v>
      </c>
      <c r="G682" s="1" t="s">
        <v>85</v>
      </c>
      <c r="H682" s="1" t="s">
        <v>92</v>
      </c>
      <c r="I682">
        <v>669</v>
      </c>
      <c r="J682">
        <v>2815</v>
      </c>
      <c r="K682">
        <v>658</v>
      </c>
      <c r="L682">
        <v>6146</v>
      </c>
      <c r="M682">
        <v>10288</v>
      </c>
      <c r="N682" s="2">
        <v>45837</v>
      </c>
      <c r="O682" s="2">
        <v>45966</v>
      </c>
      <c r="P682" s="1" t="s">
        <v>19</v>
      </c>
      <c r="Q682" s="1" t="s">
        <v>9</v>
      </c>
      <c r="R682" s="1" t="s">
        <v>17</v>
      </c>
      <c r="S682">
        <v>773</v>
      </c>
      <c r="T682" s="1" t="s">
        <v>1773</v>
      </c>
    </row>
    <row r="683" spans="1:20" x14ac:dyDescent="0.3">
      <c r="A683" s="1" t="s">
        <v>1774</v>
      </c>
      <c r="B683" s="1" t="s">
        <v>787</v>
      </c>
      <c r="C683">
        <v>33</v>
      </c>
      <c r="D683" s="1" t="s">
        <v>23</v>
      </c>
      <c r="E683" s="1" t="s">
        <v>40</v>
      </c>
      <c r="F683" s="1" t="s">
        <v>135</v>
      </c>
      <c r="G683" s="1" t="s">
        <v>98</v>
      </c>
      <c r="H683" s="1" t="s">
        <v>99</v>
      </c>
      <c r="I683">
        <v>751</v>
      </c>
      <c r="J683">
        <v>4133</v>
      </c>
      <c r="K683">
        <v>6141</v>
      </c>
      <c r="L683">
        <v>5959</v>
      </c>
      <c r="M683">
        <v>16984</v>
      </c>
      <c r="N683" s="2">
        <v>45845</v>
      </c>
      <c r="O683" s="2">
        <v>45940</v>
      </c>
      <c r="P683" s="1" t="s">
        <v>14</v>
      </c>
      <c r="Q683" s="1" t="s">
        <v>21</v>
      </c>
      <c r="R683" s="1" t="s">
        <v>17</v>
      </c>
      <c r="S683">
        <v>814</v>
      </c>
      <c r="T683" s="1" t="s">
        <v>1775</v>
      </c>
    </row>
    <row r="684" spans="1:20" x14ac:dyDescent="0.3">
      <c r="A684" s="1" t="s">
        <v>1776</v>
      </c>
      <c r="B684" s="1" t="s">
        <v>1777</v>
      </c>
      <c r="C684">
        <v>7</v>
      </c>
      <c r="D684" s="1" t="s">
        <v>12</v>
      </c>
      <c r="E684" s="1" t="s">
        <v>40</v>
      </c>
      <c r="F684" s="1" t="s">
        <v>120</v>
      </c>
      <c r="G684" s="1" t="s">
        <v>158</v>
      </c>
      <c r="H684" s="1" t="s">
        <v>215</v>
      </c>
      <c r="I684">
        <v>872</v>
      </c>
      <c r="J684">
        <v>1142</v>
      </c>
      <c r="K684">
        <v>1967</v>
      </c>
      <c r="L684">
        <v>3246</v>
      </c>
      <c r="M684">
        <v>7227</v>
      </c>
      <c r="N684" s="2">
        <v>45924</v>
      </c>
      <c r="O684" s="2">
        <v>45776</v>
      </c>
      <c r="P684" s="1" t="s">
        <v>14</v>
      </c>
      <c r="Q684" s="1" t="s">
        <v>21</v>
      </c>
      <c r="R684" s="1" t="s">
        <v>87</v>
      </c>
      <c r="S684">
        <v>935</v>
      </c>
      <c r="T684" s="1" t="s">
        <v>1778</v>
      </c>
    </row>
    <row r="685" spans="1:20" x14ac:dyDescent="0.3">
      <c r="A685" s="1" t="s">
        <v>1779</v>
      </c>
      <c r="B685" s="1" t="s">
        <v>1564</v>
      </c>
      <c r="C685">
        <v>31</v>
      </c>
      <c r="D685" s="1" t="s">
        <v>12</v>
      </c>
      <c r="E685" s="1" t="s">
        <v>38</v>
      </c>
      <c r="F685" s="1" t="s">
        <v>135</v>
      </c>
      <c r="G685" s="1" t="s">
        <v>91</v>
      </c>
      <c r="H685" s="1" t="s">
        <v>13</v>
      </c>
      <c r="I685">
        <v>343</v>
      </c>
      <c r="J685">
        <v>4587</v>
      </c>
      <c r="K685">
        <v>7151</v>
      </c>
      <c r="L685">
        <v>1553</v>
      </c>
      <c r="M685">
        <v>13634</v>
      </c>
      <c r="N685" s="2">
        <v>45796</v>
      </c>
      <c r="O685" s="2">
        <v>45800</v>
      </c>
      <c r="P685" s="1" t="s">
        <v>136</v>
      </c>
      <c r="Q685" s="1" t="s">
        <v>16</v>
      </c>
      <c r="R685" s="1" t="s">
        <v>22</v>
      </c>
      <c r="S685">
        <v>385</v>
      </c>
      <c r="T685" s="1" t="s">
        <v>1780</v>
      </c>
    </row>
    <row r="686" spans="1:20" x14ac:dyDescent="0.3">
      <c r="A686" s="1" t="s">
        <v>1781</v>
      </c>
      <c r="B686" s="1" t="s">
        <v>703</v>
      </c>
      <c r="C686">
        <v>64</v>
      </c>
      <c r="D686" s="1" t="s">
        <v>23</v>
      </c>
      <c r="E686" s="1" t="s">
        <v>33</v>
      </c>
      <c r="F686" s="1" t="s">
        <v>120</v>
      </c>
      <c r="G686" s="1" t="s">
        <v>104</v>
      </c>
      <c r="H686" s="1" t="s">
        <v>155</v>
      </c>
      <c r="I686">
        <v>1209</v>
      </c>
      <c r="J686">
        <v>863</v>
      </c>
      <c r="K686">
        <v>2138</v>
      </c>
      <c r="L686">
        <v>4370</v>
      </c>
      <c r="M686">
        <v>8580</v>
      </c>
      <c r="N686" s="2">
        <v>45852</v>
      </c>
      <c r="O686" s="2">
        <v>45752</v>
      </c>
      <c r="P686" s="1" t="s">
        <v>93</v>
      </c>
      <c r="Q686" s="1" t="s">
        <v>21</v>
      </c>
      <c r="R686" s="1" t="s">
        <v>22</v>
      </c>
      <c r="S686">
        <v>654</v>
      </c>
      <c r="T686" s="1" t="s">
        <v>1782</v>
      </c>
    </row>
    <row r="687" spans="1:20" x14ac:dyDescent="0.3">
      <c r="A687" s="1" t="s">
        <v>1783</v>
      </c>
      <c r="B687" s="1" t="s">
        <v>1178</v>
      </c>
      <c r="C687">
        <v>78</v>
      </c>
      <c r="D687" s="1" t="s">
        <v>12</v>
      </c>
      <c r="E687" s="1" t="s">
        <v>33</v>
      </c>
      <c r="F687" s="1" t="s">
        <v>124</v>
      </c>
      <c r="G687" s="1" t="s">
        <v>176</v>
      </c>
      <c r="H687" s="1" t="s">
        <v>115</v>
      </c>
      <c r="I687">
        <v>356</v>
      </c>
      <c r="J687">
        <v>3293</v>
      </c>
      <c r="K687">
        <v>6245</v>
      </c>
      <c r="L687">
        <v>14586</v>
      </c>
      <c r="M687">
        <v>24480</v>
      </c>
      <c r="N687" s="2">
        <v>45976</v>
      </c>
      <c r="O687" s="2">
        <v>45880</v>
      </c>
      <c r="P687" s="1" t="s">
        <v>93</v>
      </c>
      <c r="Q687" s="1" t="s">
        <v>16</v>
      </c>
      <c r="R687" s="1" t="s">
        <v>87</v>
      </c>
      <c r="S687">
        <v>497</v>
      </c>
      <c r="T687" s="1" t="s">
        <v>1784</v>
      </c>
    </row>
    <row r="688" spans="1:20" x14ac:dyDescent="0.3">
      <c r="A688" s="1" t="s">
        <v>1785</v>
      </c>
      <c r="B688" s="1" t="s">
        <v>1333</v>
      </c>
      <c r="C688">
        <v>60</v>
      </c>
      <c r="D688" s="1" t="s">
        <v>12</v>
      </c>
      <c r="E688" s="1" t="s">
        <v>36</v>
      </c>
      <c r="F688" s="1" t="s">
        <v>124</v>
      </c>
      <c r="G688" s="1" t="s">
        <v>158</v>
      </c>
      <c r="H688" s="1" t="s">
        <v>145</v>
      </c>
      <c r="I688">
        <v>1080</v>
      </c>
      <c r="J688">
        <v>4328</v>
      </c>
      <c r="K688">
        <v>6408</v>
      </c>
      <c r="L688">
        <v>4903</v>
      </c>
      <c r="M688">
        <v>16719</v>
      </c>
      <c r="N688" s="2">
        <v>45725</v>
      </c>
      <c r="O688" s="2">
        <v>45665</v>
      </c>
      <c r="P688" s="1" t="s">
        <v>14</v>
      </c>
      <c r="Q688" s="1" t="s">
        <v>31</v>
      </c>
      <c r="R688" s="1" t="s">
        <v>87</v>
      </c>
      <c r="S688">
        <v>402</v>
      </c>
      <c r="T688" s="1" t="s">
        <v>1786</v>
      </c>
    </row>
    <row r="689" spans="1:20" x14ac:dyDescent="0.3">
      <c r="A689" s="1" t="s">
        <v>1787</v>
      </c>
      <c r="B689" s="1" t="s">
        <v>1040</v>
      </c>
      <c r="C689">
        <v>5</v>
      </c>
      <c r="D689" s="1" t="s">
        <v>12</v>
      </c>
      <c r="E689" s="1" t="s">
        <v>36</v>
      </c>
      <c r="F689" s="1" t="s">
        <v>97</v>
      </c>
      <c r="G689" s="1" t="s">
        <v>176</v>
      </c>
      <c r="H689" s="1" t="s">
        <v>165</v>
      </c>
      <c r="I689">
        <v>813</v>
      </c>
      <c r="J689">
        <v>601</v>
      </c>
      <c r="K689">
        <v>1318</v>
      </c>
      <c r="L689">
        <v>6028</v>
      </c>
      <c r="M689">
        <v>8760</v>
      </c>
      <c r="N689" s="2">
        <v>45949</v>
      </c>
      <c r="O689" s="2">
        <v>45996</v>
      </c>
      <c r="P689" s="1" t="s">
        <v>177</v>
      </c>
      <c r="Q689" s="1" t="s">
        <v>31</v>
      </c>
      <c r="R689" s="1" t="s">
        <v>17</v>
      </c>
      <c r="S689">
        <v>573</v>
      </c>
      <c r="T689" s="1" t="s">
        <v>1788</v>
      </c>
    </row>
    <row r="690" spans="1:20" x14ac:dyDescent="0.3">
      <c r="A690" s="1" t="s">
        <v>1789</v>
      </c>
      <c r="B690" s="1" t="s">
        <v>43</v>
      </c>
      <c r="C690">
        <v>60</v>
      </c>
      <c r="D690" s="1" t="s">
        <v>23</v>
      </c>
      <c r="E690" s="1" t="s">
        <v>20</v>
      </c>
      <c r="F690" s="1" t="s">
        <v>97</v>
      </c>
      <c r="G690" s="1" t="s">
        <v>158</v>
      </c>
      <c r="H690" s="1" t="s">
        <v>215</v>
      </c>
      <c r="I690">
        <v>1439</v>
      </c>
      <c r="J690">
        <v>2284</v>
      </c>
      <c r="K690">
        <v>3647</v>
      </c>
      <c r="L690">
        <v>1959</v>
      </c>
      <c r="M690">
        <v>9329</v>
      </c>
      <c r="N690" s="2">
        <v>45954</v>
      </c>
      <c r="O690" s="2">
        <v>45698</v>
      </c>
      <c r="P690" s="1" t="s">
        <v>14</v>
      </c>
      <c r="Q690" s="1" t="s">
        <v>9</v>
      </c>
      <c r="R690" s="1" t="s">
        <v>22</v>
      </c>
      <c r="S690">
        <v>364</v>
      </c>
      <c r="T690" s="1" t="s">
        <v>1790</v>
      </c>
    </row>
    <row r="691" spans="1:20" x14ac:dyDescent="0.3">
      <c r="A691" s="1" t="s">
        <v>1791</v>
      </c>
      <c r="B691" s="1" t="s">
        <v>1792</v>
      </c>
      <c r="C691">
        <v>64</v>
      </c>
      <c r="D691" s="1" t="s">
        <v>23</v>
      </c>
      <c r="E691" s="1" t="s">
        <v>27</v>
      </c>
      <c r="F691" s="1" t="s">
        <v>84</v>
      </c>
      <c r="G691" s="1" t="s">
        <v>98</v>
      </c>
      <c r="H691" s="1" t="s">
        <v>145</v>
      </c>
      <c r="I691">
        <v>600</v>
      </c>
      <c r="J691">
        <v>906</v>
      </c>
      <c r="K691">
        <v>2206</v>
      </c>
      <c r="L691">
        <v>2875</v>
      </c>
      <c r="M691">
        <v>6587</v>
      </c>
      <c r="N691" s="2">
        <v>45993</v>
      </c>
      <c r="O691" s="2">
        <v>45677</v>
      </c>
      <c r="P691" s="1" t="s">
        <v>25</v>
      </c>
      <c r="Q691" s="1" t="s">
        <v>21</v>
      </c>
      <c r="R691" s="1" t="s">
        <v>22</v>
      </c>
      <c r="S691">
        <v>666</v>
      </c>
      <c r="T691" s="1" t="s">
        <v>1793</v>
      </c>
    </row>
    <row r="692" spans="1:20" x14ac:dyDescent="0.3">
      <c r="A692" s="1" t="s">
        <v>1794</v>
      </c>
      <c r="B692" s="1" t="s">
        <v>599</v>
      </c>
      <c r="C692">
        <v>34</v>
      </c>
      <c r="D692" s="1" t="s">
        <v>12</v>
      </c>
      <c r="E692" s="1" t="s">
        <v>27</v>
      </c>
      <c r="F692" s="1" t="s">
        <v>103</v>
      </c>
      <c r="G692" s="1" t="s">
        <v>158</v>
      </c>
      <c r="H692" s="1" t="s">
        <v>99</v>
      </c>
      <c r="I692">
        <v>1406</v>
      </c>
      <c r="J692">
        <v>866</v>
      </c>
      <c r="K692">
        <v>5219</v>
      </c>
      <c r="L692">
        <v>4845</v>
      </c>
      <c r="M692">
        <v>12336</v>
      </c>
      <c r="N692" s="2">
        <v>45837</v>
      </c>
      <c r="O692" s="2">
        <v>45713</v>
      </c>
      <c r="P692" s="1" t="s">
        <v>35</v>
      </c>
      <c r="Q692" s="1" t="s">
        <v>16</v>
      </c>
      <c r="R692" s="1" t="s">
        <v>22</v>
      </c>
      <c r="S692">
        <v>308</v>
      </c>
      <c r="T692" s="1" t="s">
        <v>1795</v>
      </c>
    </row>
    <row r="693" spans="1:20" x14ac:dyDescent="0.3">
      <c r="A693" s="1" t="s">
        <v>1796</v>
      </c>
      <c r="B693" s="1" t="s">
        <v>404</v>
      </c>
      <c r="C693">
        <v>54</v>
      </c>
      <c r="D693" s="1" t="s">
        <v>23</v>
      </c>
      <c r="E693" s="1" t="s">
        <v>20</v>
      </c>
      <c r="F693" s="1" t="s">
        <v>120</v>
      </c>
      <c r="G693" s="1" t="s">
        <v>125</v>
      </c>
      <c r="H693" s="1" t="s">
        <v>26</v>
      </c>
      <c r="I693">
        <v>593</v>
      </c>
      <c r="J693">
        <v>702</v>
      </c>
      <c r="K693">
        <v>2975</v>
      </c>
      <c r="L693">
        <v>10944</v>
      </c>
      <c r="M693">
        <v>15214</v>
      </c>
      <c r="N693" s="2">
        <v>45842</v>
      </c>
      <c r="O693" s="2">
        <v>45829</v>
      </c>
      <c r="P693" s="1" t="s">
        <v>93</v>
      </c>
      <c r="Q693" s="1" t="s">
        <v>21</v>
      </c>
      <c r="R693" s="1" t="s">
        <v>87</v>
      </c>
      <c r="S693">
        <v>131</v>
      </c>
      <c r="T693" s="1" t="s">
        <v>1797</v>
      </c>
    </row>
    <row r="694" spans="1:20" x14ac:dyDescent="0.3">
      <c r="A694" s="1" t="s">
        <v>1798</v>
      </c>
      <c r="B694" s="1" t="s">
        <v>1387</v>
      </c>
      <c r="C694">
        <v>38</v>
      </c>
      <c r="D694" s="1" t="s">
        <v>23</v>
      </c>
      <c r="E694" s="1" t="s">
        <v>40</v>
      </c>
      <c r="F694" s="1" t="s">
        <v>103</v>
      </c>
      <c r="G694" s="1" t="s">
        <v>125</v>
      </c>
      <c r="H694" s="1" t="s">
        <v>13</v>
      </c>
      <c r="I694">
        <v>733</v>
      </c>
      <c r="J694">
        <v>3064</v>
      </c>
      <c r="K694">
        <v>4484</v>
      </c>
      <c r="L694">
        <v>12727</v>
      </c>
      <c r="M694">
        <v>21008</v>
      </c>
      <c r="N694" s="2">
        <v>45918</v>
      </c>
      <c r="O694" s="2">
        <v>45955</v>
      </c>
      <c r="P694" s="1" t="s">
        <v>177</v>
      </c>
      <c r="Q694" s="1" t="s">
        <v>16</v>
      </c>
      <c r="R694" s="1" t="s">
        <v>87</v>
      </c>
      <c r="S694">
        <v>843</v>
      </c>
      <c r="T694" s="1" t="s">
        <v>1799</v>
      </c>
    </row>
    <row r="695" spans="1:20" x14ac:dyDescent="0.3">
      <c r="A695" s="1" t="s">
        <v>1800</v>
      </c>
      <c r="B695" s="1" t="s">
        <v>1801</v>
      </c>
      <c r="C695">
        <v>10</v>
      </c>
      <c r="D695" s="1" t="s">
        <v>23</v>
      </c>
      <c r="E695" s="1" t="s">
        <v>27</v>
      </c>
      <c r="F695" s="1" t="s">
        <v>120</v>
      </c>
      <c r="G695" s="1" t="s">
        <v>91</v>
      </c>
      <c r="H695" s="1" t="s">
        <v>13</v>
      </c>
      <c r="I695">
        <v>1380</v>
      </c>
      <c r="J695">
        <v>921</v>
      </c>
      <c r="K695">
        <v>5273</v>
      </c>
      <c r="L695">
        <v>8738</v>
      </c>
      <c r="M695">
        <v>16312</v>
      </c>
      <c r="N695" s="2">
        <v>45995</v>
      </c>
      <c r="O695" s="2">
        <v>45926</v>
      </c>
      <c r="P695" s="1" t="s">
        <v>110</v>
      </c>
      <c r="Q695" s="1" t="s">
        <v>21</v>
      </c>
      <c r="R695" s="1" t="s">
        <v>22</v>
      </c>
      <c r="S695">
        <v>956</v>
      </c>
      <c r="T695" s="1" t="s">
        <v>1802</v>
      </c>
    </row>
    <row r="696" spans="1:20" x14ac:dyDescent="0.3">
      <c r="A696" s="1" t="s">
        <v>1803</v>
      </c>
      <c r="B696" s="1" t="s">
        <v>131</v>
      </c>
      <c r="C696">
        <v>43</v>
      </c>
      <c r="D696" s="1" t="s">
        <v>23</v>
      </c>
      <c r="E696" s="1" t="s">
        <v>38</v>
      </c>
      <c r="F696" s="1" t="s">
        <v>97</v>
      </c>
      <c r="G696" s="1" t="s">
        <v>91</v>
      </c>
      <c r="H696" s="1" t="s">
        <v>105</v>
      </c>
      <c r="I696">
        <v>1233</v>
      </c>
      <c r="J696">
        <v>3078</v>
      </c>
      <c r="K696">
        <v>6429</v>
      </c>
      <c r="L696">
        <v>2890</v>
      </c>
      <c r="M696">
        <v>13630</v>
      </c>
      <c r="N696" s="2">
        <v>46012</v>
      </c>
      <c r="O696" s="2">
        <v>45781</v>
      </c>
      <c r="P696" s="1" t="s">
        <v>116</v>
      </c>
      <c r="Q696" s="1" t="s">
        <v>16</v>
      </c>
      <c r="R696" s="1" t="s">
        <v>17</v>
      </c>
      <c r="S696">
        <v>673</v>
      </c>
      <c r="T696" s="1" t="s">
        <v>1804</v>
      </c>
    </row>
    <row r="697" spans="1:20" x14ac:dyDescent="0.3">
      <c r="A697" s="1" t="s">
        <v>1805</v>
      </c>
      <c r="B697" s="1" t="s">
        <v>734</v>
      </c>
      <c r="C697">
        <v>84</v>
      </c>
      <c r="D697" s="1" t="s">
        <v>12</v>
      </c>
      <c r="E697" s="1" t="s">
        <v>38</v>
      </c>
      <c r="F697" s="1" t="s">
        <v>84</v>
      </c>
      <c r="G697" s="1" t="s">
        <v>104</v>
      </c>
      <c r="H697" s="1" t="s">
        <v>92</v>
      </c>
      <c r="I697">
        <v>1157</v>
      </c>
      <c r="J697">
        <v>2382</v>
      </c>
      <c r="K697">
        <v>4964</v>
      </c>
      <c r="L697">
        <v>14563</v>
      </c>
      <c r="M697">
        <v>23066</v>
      </c>
      <c r="N697" s="2">
        <v>45722</v>
      </c>
      <c r="O697" s="2">
        <v>45933</v>
      </c>
      <c r="P697" s="1" t="s">
        <v>19</v>
      </c>
      <c r="Q697" s="1" t="s">
        <v>31</v>
      </c>
      <c r="R697" s="1" t="s">
        <v>87</v>
      </c>
      <c r="S697">
        <v>366</v>
      </c>
      <c r="T697" s="1" t="s">
        <v>1806</v>
      </c>
    </row>
    <row r="698" spans="1:20" x14ac:dyDescent="0.3">
      <c r="A698" s="1" t="s">
        <v>1807</v>
      </c>
      <c r="B698" s="1" t="s">
        <v>650</v>
      </c>
      <c r="C698">
        <v>41</v>
      </c>
      <c r="D698" s="1" t="s">
        <v>23</v>
      </c>
      <c r="E698" s="1" t="s">
        <v>15</v>
      </c>
      <c r="F698" s="1" t="s">
        <v>114</v>
      </c>
      <c r="G698" s="1" t="s">
        <v>125</v>
      </c>
      <c r="H698" s="1" t="s">
        <v>199</v>
      </c>
      <c r="I698">
        <v>1162</v>
      </c>
      <c r="J698">
        <v>4637</v>
      </c>
      <c r="K698">
        <v>1515</v>
      </c>
      <c r="L698">
        <v>10437</v>
      </c>
      <c r="M698">
        <v>17751</v>
      </c>
      <c r="N698" s="2">
        <v>45911</v>
      </c>
      <c r="O698" s="2">
        <v>45981</v>
      </c>
      <c r="P698" s="1" t="s">
        <v>19</v>
      </c>
      <c r="Q698" s="1" t="s">
        <v>16</v>
      </c>
      <c r="R698" s="1" t="s">
        <v>22</v>
      </c>
      <c r="S698">
        <v>223</v>
      </c>
      <c r="T698" s="1" t="s">
        <v>1808</v>
      </c>
    </row>
    <row r="699" spans="1:20" x14ac:dyDescent="0.3">
      <c r="A699" s="1" t="s">
        <v>1809</v>
      </c>
      <c r="B699" s="1" t="s">
        <v>1810</v>
      </c>
      <c r="C699">
        <v>61</v>
      </c>
      <c r="D699" s="1" t="s">
        <v>23</v>
      </c>
      <c r="E699" s="1" t="s">
        <v>38</v>
      </c>
      <c r="F699" s="1" t="s">
        <v>109</v>
      </c>
      <c r="G699" s="1" t="s">
        <v>125</v>
      </c>
      <c r="H699" s="1" t="s">
        <v>29</v>
      </c>
      <c r="I699">
        <v>1183</v>
      </c>
      <c r="J699">
        <v>696</v>
      </c>
      <c r="K699">
        <v>5952</v>
      </c>
      <c r="L699">
        <v>3735</v>
      </c>
      <c r="M699">
        <v>11566</v>
      </c>
      <c r="N699" s="2">
        <v>45695</v>
      </c>
      <c r="O699" s="2">
        <v>45725</v>
      </c>
      <c r="P699" s="1" t="s">
        <v>110</v>
      </c>
      <c r="Q699" s="1" t="s">
        <v>21</v>
      </c>
      <c r="R699" s="1" t="s">
        <v>22</v>
      </c>
      <c r="S699">
        <v>511</v>
      </c>
      <c r="T699" s="1" t="s">
        <v>1811</v>
      </c>
    </row>
    <row r="700" spans="1:20" x14ac:dyDescent="0.3">
      <c r="A700" s="1" t="s">
        <v>1812</v>
      </c>
      <c r="B700" s="1" t="s">
        <v>1064</v>
      </c>
      <c r="C700">
        <v>38</v>
      </c>
      <c r="D700" s="1" t="s">
        <v>23</v>
      </c>
      <c r="E700" s="1" t="s">
        <v>27</v>
      </c>
      <c r="F700" s="1" t="s">
        <v>97</v>
      </c>
      <c r="G700" s="1" t="s">
        <v>104</v>
      </c>
      <c r="H700" s="1" t="s">
        <v>186</v>
      </c>
      <c r="I700">
        <v>520</v>
      </c>
      <c r="J700">
        <v>870</v>
      </c>
      <c r="K700">
        <v>904</v>
      </c>
      <c r="L700">
        <v>13103</v>
      </c>
      <c r="M700">
        <v>15397</v>
      </c>
      <c r="N700" s="2">
        <v>45839</v>
      </c>
      <c r="O700" s="2">
        <v>45887</v>
      </c>
      <c r="P700" s="1" t="s">
        <v>93</v>
      </c>
      <c r="Q700" s="1" t="s">
        <v>9</v>
      </c>
      <c r="R700" s="1" t="s">
        <v>17</v>
      </c>
      <c r="S700">
        <v>875</v>
      </c>
      <c r="T700" s="1" t="s">
        <v>1813</v>
      </c>
    </row>
    <row r="701" spans="1:20" x14ac:dyDescent="0.3">
      <c r="A701" s="1" t="s">
        <v>1814</v>
      </c>
      <c r="B701" s="1" t="s">
        <v>1815</v>
      </c>
      <c r="C701">
        <v>76</v>
      </c>
      <c r="D701" s="1" t="s">
        <v>23</v>
      </c>
      <c r="E701" s="1" t="s">
        <v>36</v>
      </c>
      <c r="F701" s="1" t="s">
        <v>109</v>
      </c>
      <c r="G701" s="1" t="s">
        <v>176</v>
      </c>
      <c r="H701" s="1" t="s">
        <v>18</v>
      </c>
      <c r="I701">
        <v>1057</v>
      </c>
      <c r="J701">
        <v>4215</v>
      </c>
      <c r="K701">
        <v>3407</v>
      </c>
      <c r="L701">
        <v>6250</v>
      </c>
      <c r="M701">
        <v>14929</v>
      </c>
      <c r="N701" s="2">
        <v>45882</v>
      </c>
      <c r="O701" s="2">
        <v>45748</v>
      </c>
      <c r="P701" s="1" t="s">
        <v>110</v>
      </c>
      <c r="Q701" s="1" t="s">
        <v>16</v>
      </c>
      <c r="R701" s="1" t="s">
        <v>22</v>
      </c>
      <c r="S701">
        <v>404</v>
      </c>
      <c r="T701" s="1" t="s">
        <v>1816</v>
      </c>
    </row>
    <row r="702" spans="1:20" x14ac:dyDescent="0.3">
      <c r="A702" s="1" t="s">
        <v>1817</v>
      </c>
      <c r="B702" s="1" t="s">
        <v>64</v>
      </c>
      <c r="C702">
        <v>73</v>
      </c>
      <c r="D702" s="1" t="s">
        <v>12</v>
      </c>
      <c r="E702" s="1" t="s">
        <v>38</v>
      </c>
      <c r="F702" s="1" t="s">
        <v>124</v>
      </c>
      <c r="G702" s="1" t="s">
        <v>98</v>
      </c>
      <c r="H702" s="1" t="s">
        <v>186</v>
      </c>
      <c r="I702">
        <v>1086</v>
      </c>
      <c r="J702">
        <v>3109</v>
      </c>
      <c r="K702">
        <v>6503</v>
      </c>
      <c r="L702">
        <v>3923</v>
      </c>
      <c r="M702">
        <v>14621</v>
      </c>
      <c r="N702" s="2">
        <v>45731</v>
      </c>
      <c r="O702" s="2">
        <v>45679</v>
      </c>
      <c r="P702" s="1" t="s">
        <v>19</v>
      </c>
      <c r="Q702" s="1" t="s">
        <v>21</v>
      </c>
      <c r="R702" s="1" t="s">
        <v>87</v>
      </c>
      <c r="S702">
        <v>730</v>
      </c>
      <c r="T702" s="1" t="s">
        <v>1818</v>
      </c>
    </row>
    <row r="703" spans="1:20" x14ac:dyDescent="0.3">
      <c r="A703" s="1" t="s">
        <v>1819</v>
      </c>
      <c r="B703" s="1" t="s">
        <v>552</v>
      </c>
      <c r="C703">
        <v>37</v>
      </c>
      <c r="D703" s="1" t="s">
        <v>23</v>
      </c>
      <c r="E703" s="1" t="s">
        <v>24</v>
      </c>
      <c r="F703" s="1" t="s">
        <v>114</v>
      </c>
      <c r="G703" s="1" t="s">
        <v>85</v>
      </c>
      <c r="H703" s="1" t="s">
        <v>26</v>
      </c>
      <c r="I703">
        <v>860</v>
      </c>
      <c r="J703">
        <v>4486</v>
      </c>
      <c r="K703">
        <v>3895</v>
      </c>
      <c r="L703">
        <v>4664</v>
      </c>
      <c r="M703">
        <v>13905</v>
      </c>
      <c r="N703" s="2">
        <v>45744</v>
      </c>
      <c r="O703" s="2">
        <v>45805</v>
      </c>
      <c r="P703" s="1" t="s">
        <v>14</v>
      </c>
      <c r="Q703" s="1" t="s">
        <v>21</v>
      </c>
      <c r="R703" s="1" t="s">
        <v>22</v>
      </c>
      <c r="S703">
        <v>198</v>
      </c>
      <c r="T703" s="1" t="s">
        <v>1820</v>
      </c>
    </row>
    <row r="704" spans="1:20" x14ac:dyDescent="0.3">
      <c r="A704" s="1" t="s">
        <v>1821</v>
      </c>
      <c r="B704" s="1" t="s">
        <v>454</v>
      </c>
      <c r="C704">
        <v>22</v>
      </c>
      <c r="D704" s="1" t="s">
        <v>23</v>
      </c>
      <c r="E704" s="1" t="s">
        <v>36</v>
      </c>
      <c r="F704" s="1" t="s">
        <v>103</v>
      </c>
      <c r="G704" s="1" t="s">
        <v>98</v>
      </c>
      <c r="H704" s="1" t="s">
        <v>115</v>
      </c>
      <c r="I704">
        <v>313</v>
      </c>
      <c r="J704">
        <v>4500</v>
      </c>
      <c r="K704">
        <v>7119</v>
      </c>
      <c r="L704">
        <v>14474</v>
      </c>
      <c r="M704">
        <v>26406</v>
      </c>
      <c r="N704" s="2">
        <v>45671</v>
      </c>
      <c r="O704" s="2">
        <v>45847</v>
      </c>
      <c r="P704" s="1" t="s">
        <v>19</v>
      </c>
      <c r="Q704" s="1" t="s">
        <v>9</v>
      </c>
      <c r="R704" s="1" t="s">
        <v>87</v>
      </c>
      <c r="S704">
        <v>555</v>
      </c>
      <c r="T704" s="1" t="s">
        <v>1822</v>
      </c>
    </row>
    <row r="705" spans="1:20" x14ac:dyDescent="0.3">
      <c r="A705" s="1" t="s">
        <v>1823</v>
      </c>
      <c r="B705" s="1" t="s">
        <v>488</v>
      </c>
      <c r="C705">
        <v>38</v>
      </c>
      <c r="D705" s="1" t="s">
        <v>23</v>
      </c>
      <c r="E705" s="1" t="s">
        <v>20</v>
      </c>
      <c r="F705" s="1" t="s">
        <v>114</v>
      </c>
      <c r="G705" s="1" t="s">
        <v>176</v>
      </c>
      <c r="H705" s="1" t="s">
        <v>92</v>
      </c>
      <c r="I705">
        <v>1185</v>
      </c>
      <c r="J705">
        <v>4540</v>
      </c>
      <c r="K705">
        <v>2454</v>
      </c>
      <c r="L705">
        <v>2423</v>
      </c>
      <c r="M705">
        <v>10602</v>
      </c>
      <c r="N705" s="2">
        <v>45728</v>
      </c>
      <c r="O705" s="2">
        <v>45800</v>
      </c>
      <c r="P705" s="1" t="s">
        <v>35</v>
      </c>
      <c r="Q705" s="1" t="s">
        <v>16</v>
      </c>
      <c r="R705" s="1" t="s">
        <v>87</v>
      </c>
      <c r="S705">
        <v>912</v>
      </c>
      <c r="T705" s="1" t="s">
        <v>1824</v>
      </c>
    </row>
    <row r="706" spans="1:20" x14ac:dyDescent="0.3">
      <c r="A706" s="1" t="s">
        <v>1825</v>
      </c>
      <c r="B706" s="1" t="s">
        <v>259</v>
      </c>
      <c r="C706">
        <v>21</v>
      </c>
      <c r="D706" s="1" t="s">
        <v>12</v>
      </c>
      <c r="E706" s="1" t="s">
        <v>24</v>
      </c>
      <c r="F706" s="1" t="s">
        <v>124</v>
      </c>
      <c r="G706" s="1" t="s">
        <v>104</v>
      </c>
      <c r="H706" s="1" t="s">
        <v>92</v>
      </c>
      <c r="I706">
        <v>1350</v>
      </c>
      <c r="J706">
        <v>1106</v>
      </c>
      <c r="K706">
        <v>6090</v>
      </c>
      <c r="L706">
        <v>12271</v>
      </c>
      <c r="M706">
        <v>20817</v>
      </c>
      <c r="N706" s="2">
        <v>45819</v>
      </c>
      <c r="O706" s="2">
        <v>45677</v>
      </c>
      <c r="P706" s="1" t="s">
        <v>93</v>
      </c>
      <c r="Q706" s="1" t="s">
        <v>21</v>
      </c>
      <c r="R706" s="1" t="s">
        <v>22</v>
      </c>
      <c r="S706">
        <v>961</v>
      </c>
      <c r="T706" s="1" t="s">
        <v>1826</v>
      </c>
    </row>
    <row r="707" spans="1:20" x14ac:dyDescent="0.3">
      <c r="A707" s="1" t="s">
        <v>1827</v>
      </c>
      <c r="B707" s="1" t="s">
        <v>1767</v>
      </c>
      <c r="C707">
        <v>32</v>
      </c>
      <c r="D707" s="1" t="s">
        <v>23</v>
      </c>
      <c r="E707" s="1" t="s">
        <v>36</v>
      </c>
      <c r="F707" s="1" t="s">
        <v>120</v>
      </c>
      <c r="G707" s="1" t="s">
        <v>85</v>
      </c>
      <c r="H707" s="1" t="s">
        <v>105</v>
      </c>
      <c r="I707">
        <v>700</v>
      </c>
      <c r="J707">
        <v>2673</v>
      </c>
      <c r="K707">
        <v>4151</v>
      </c>
      <c r="L707">
        <v>3481</v>
      </c>
      <c r="M707">
        <v>11005</v>
      </c>
      <c r="N707" s="2">
        <v>45906</v>
      </c>
      <c r="O707" s="2">
        <v>45753</v>
      </c>
      <c r="P707" s="1" t="s">
        <v>116</v>
      </c>
      <c r="Q707" s="1" t="s">
        <v>31</v>
      </c>
      <c r="R707" s="1" t="s">
        <v>87</v>
      </c>
      <c r="S707">
        <v>996</v>
      </c>
      <c r="T707" s="1" t="s">
        <v>1828</v>
      </c>
    </row>
    <row r="708" spans="1:20" x14ac:dyDescent="0.3">
      <c r="A708" s="1" t="s">
        <v>1829</v>
      </c>
      <c r="B708" s="1" t="s">
        <v>1165</v>
      </c>
      <c r="C708">
        <v>1</v>
      </c>
      <c r="D708" s="1" t="s">
        <v>12</v>
      </c>
      <c r="E708" s="1" t="s">
        <v>38</v>
      </c>
      <c r="F708" s="1" t="s">
        <v>114</v>
      </c>
      <c r="G708" s="1" t="s">
        <v>104</v>
      </c>
      <c r="H708" s="1" t="s">
        <v>215</v>
      </c>
      <c r="I708">
        <v>1442</v>
      </c>
      <c r="J708">
        <v>2208</v>
      </c>
      <c r="K708">
        <v>6116</v>
      </c>
      <c r="L708">
        <v>3918</v>
      </c>
      <c r="M708">
        <v>13684</v>
      </c>
      <c r="N708" s="2">
        <v>45677</v>
      </c>
      <c r="O708" s="2">
        <v>45872</v>
      </c>
      <c r="P708" s="1" t="s">
        <v>14</v>
      </c>
      <c r="Q708" s="1" t="s">
        <v>31</v>
      </c>
      <c r="R708" s="1" t="s">
        <v>87</v>
      </c>
      <c r="S708">
        <v>457</v>
      </c>
      <c r="T708" s="1" t="s">
        <v>1830</v>
      </c>
    </row>
    <row r="709" spans="1:20" x14ac:dyDescent="0.3">
      <c r="A709" s="1" t="s">
        <v>1831</v>
      </c>
      <c r="B709" s="1" t="s">
        <v>1832</v>
      </c>
      <c r="C709">
        <v>39</v>
      </c>
      <c r="D709" s="1" t="s">
        <v>23</v>
      </c>
      <c r="E709" s="1" t="s">
        <v>24</v>
      </c>
      <c r="F709" s="1" t="s">
        <v>124</v>
      </c>
      <c r="G709" s="1" t="s">
        <v>85</v>
      </c>
      <c r="H709" s="1" t="s">
        <v>215</v>
      </c>
      <c r="I709">
        <v>1303</v>
      </c>
      <c r="J709">
        <v>3712</v>
      </c>
      <c r="K709">
        <v>5197</v>
      </c>
      <c r="L709">
        <v>6851</v>
      </c>
      <c r="M709">
        <v>17063</v>
      </c>
      <c r="N709" s="2">
        <v>45936</v>
      </c>
      <c r="O709" s="2">
        <v>45904</v>
      </c>
      <c r="P709" s="1" t="s">
        <v>14</v>
      </c>
      <c r="Q709" s="1" t="s">
        <v>16</v>
      </c>
      <c r="R709" s="1" t="s">
        <v>17</v>
      </c>
      <c r="S709">
        <v>529</v>
      </c>
      <c r="T709" s="1" t="s">
        <v>1833</v>
      </c>
    </row>
    <row r="710" spans="1:20" x14ac:dyDescent="0.3">
      <c r="A710" s="1" t="s">
        <v>1834</v>
      </c>
      <c r="B710" s="1" t="s">
        <v>62</v>
      </c>
      <c r="C710">
        <v>85</v>
      </c>
      <c r="D710" s="1" t="s">
        <v>12</v>
      </c>
      <c r="E710" s="1" t="s">
        <v>15</v>
      </c>
      <c r="F710" s="1" t="s">
        <v>114</v>
      </c>
      <c r="G710" s="1" t="s">
        <v>176</v>
      </c>
      <c r="H710" s="1" t="s">
        <v>145</v>
      </c>
      <c r="I710">
        <v>1251</v>
      </c>
      <c r="J710">
        <v>3112</v>
      </c>
      <c r="K710">
        <v>5711</v>
      </c>
      <c r="L710">
        <v>2860</v>
      </c>
      <c r="M710">
        <v>12934</v>
      </c>
      <c r="N710" s="2">
        <v>45835</v>
      </c>
      <c r="O710" s="2">
        <v>46014</v>
      </c>
      <c r="P710" s="1" t="s">
        <v>93</v>
      </c>
      <c r="Q710" s="1" t="s">
        <v>9</v>
      </c>
      <c r="R710" s="1" t="s">
        <v>17</v>
      </c>
      <c r="S710">
        <v>715</v>
      </c>
      <c r="T710" s="1" t="s">
        <v>1835</v>
      </c>
    </row>
    <row r="711" spans="1:20" x14ac:dyDescent="0.3">
      <c r="A711" s="1" t="s">
        <v>1836</v>
      </c>
      <c r="B711" s="1" t="s">
        <v>1160</v>
      </c>
      <c r="C711">
        <v>38</v>
      </c>
      <c r="D711" s="1" t="s">
        <v>12</v>
      </c>
      <c r="E711" s="1" t="s">
        <v>27</v>
      </c>
      <c r="F711" s="1" t="s">
        <v>84</v>
      </c>
      <c r="G711" s="1" t="s">
        <v>125</v>
      </c>
      <c r="H711" s="1" t="s">
        <v>199</v>
      </c>
      <c r="I711">
        <v>424</v>
      </c>
      <c r="J711">
        <v>3147</v>
      </c>
      <c r="K711">
        <v>2443</v>
      </c>
      <c r="L711">
        <v>12059</v>
      </c>
      <c r="M711">
        <v>18073</v>
      </c>
      <c r="N711" s="2">
        <v>45820</v>
      </c>
      <c r="O711" s="2">
        <v>45868</v>
      </c>
      <c r="P711" s="1" t="s">
        <v>93</v>
      </c>
      <c r="Q711" s="1" t="s">
        <v>9</v>
      </c>
      <c r="R711" s="1" t="s">
        <v>17</v>
      </c>
      <c r="S711">
        <v>155</v>
      </c>
      <c r="T711" s="1" t="s">
        <v>1837</v>
      </c>
    </row>
    <row r="712" spans="1:20" x14ac:dyDescent="0.3">
      <c r="A712" s="1" t="s">
        <v>1838</v>
      </c>
      <c r="B712" s="1" t="s">
        <v>47</v>
      </c>
      <c r="C712">
        <v>44</v>
      </c>
      <c r="D712" s="1" t="s">
        <v>23</v>
      </c>
      <c r="E712" s="1" t="s">
        <v>20</v>
      </c>
      <c r="F712" s="1" t="s">
        <v>124</v>
      </c>
      <c r="G712" s="1" t="s">
        <v>85</v>
      </c>
      <c r="H712" s="1" t="s">
        <v>92</v>
      </c>
      <c r="I712">
        <v>1139</v>
      </c>
      <c r="J712">
        <v>2312</v>
      </c>
      <c r="K712">
        <v>4989</v>
      </c>
      <c r="L712">
        <v>3728</v>
      </c>
      <c r="M712">
        <v>12168</v>
      </c>
      <c r="N712" s="2">
        <v>45932</v>
      </c>
      <c r="O712" s="2">
        <v>45763</v>
      </c>
      <c r="P712" s="1" t="s">
        <v>35</v>
      </c>
      <c r="Q712" s="1" t="s">
        <v>16</v>
      </c>
      <c r="R712" s="1" t="s">
        <v>87</v>
      </c>
      <c r="S712">
        <v>121</v>
      </c>
      <c r="T712" s="1" t="s">
        <v>1839</v>
      </c>
    </row>
    <row r="713" spans="1:20" x14ac:dyDescent="0.3">
      <c r="A713" s="1" t="s">
        <v>1840</v>
      </c>
      <c r="B713" s="1" t="s">
        <v>1801</v>
      </c>
      <c r="C713">
        <v>43</v>
      </c>
      <c r="D713" s="1" t="s">
        <v>12</v>
      </c>
      <c r="E713" s="1" t="s">
        <v>38</v>
      </c>
      <c r="F713" s="1" t="s">
        <v>114</v>
      </c>
      <c r="G713" s="1" t="s">
        <v>176</v>
      </c>
      <c r="H713" s="1" t="s">
        <v>29</v>
      </c>
      <c r="I713">
        <v>1362</v>
      </c>
      <c r="J713">
        <v>2224</v>
      </c>
      <c r="K713">
        <v>3266</v>
      </c>
      <c r="L713">
        <v>9773</v>
      </c>
      <c r="M713">
        <v>16625</v>
      </c>
      <c r="N713" s="2">
        <v>45759</v>
      </c>
      <c r="O713" s="2">
        <v>45738</v>
      </c>
      <c r="P713" s="1" t="s">
        <v>110</v>
      </c>
      <c r="Q713" s="1" t="s">
        <v>31</v>
      </c>
      <c r="R713" s="1" t="s">
        <v>17</v>
      </c>
      <c r="S713">
        <v>920</v>
      </c>
      <c r="T713" s="1" t="s">
        <v>1841</v>
      </c>
    </row>
    <row r="714" spans="1:20" x14ac:dyDescent="0.3">
      <c r="A714" s="1" t="s">
        <v>1842</v>
      </c>
      <c r="B714" s="1" t="s">
        <v>270</v>
      </c>
      <c r="C714">
        <v>53</v>
      </c>
      <c r="D714" s="1" t="s">
        <v>23</v>
      </c>
      <c r="E714" s="1" t="s">
        <v>27</v>
      </c>
      <c r="F714" s="1" t="s">
        <v>84</v>
      </c>
      <c r="G714" s="1" t="s">
        <v>158</v>
      </c>
      <c r="H714" s="1" t="s">
        <v>18</v>
      </c>
      <c r="I714">
        <v>373</v>
      </c>
      <c r="J714">
        <v>664</v>
      </c>
      <c r="K714">
        <v>6485</v>
      </c>
      <c r="L714">
        <v>9627</v>
      </c>
      <c r="M714">
        <v>17149</v>
      </c>
      <c r="N714" s="2">
        <v>45710</v>
      </c>
      <c r="O714" s="2">
        <v>45914</v>
      </c>
      <c r="P714" s="1" t="s">
        <v>93</v>
      </c>
      <c r="Q714" s="1" t="s">
        <v>31</v>
      </c>
      <c r="R714" s="1" t="s">
        <v>17</v>
      </c>
      <c r="S714">
        <v>408</v>
      </c>
      <c r="T714" s="1" t="s">
        <v>1843</v>
      </c>
    </row>
    <row r="715" spans="1:20" x14ac:dyDescent="0.3">
      <c r="A715" s="1" t="s">
        <v>1844</v>
      </c>
      <c r="B715" s="1" t="s">
        <v>858</v>
      </c>
      <c r="C715">
        <v>5</v>
      </c>
      <c r="D715" s="1" t="s">
        <v>12</v>
      </c>
      <c r="E715" s="1" t="s">
        <v>24</v>
      </c>
      <c r="F715" s="1" t="s">
        <v>114</v>
      </c>
      <c r="G715" s="1" t="s">
        <v>98</v>
      </c>
      <c r="H715" s="1" t="s">
        <v>155</v>
      </c>
      <c r="I715">
        <v>1120</v>
      </c>
      <c r="J715">
        <v>1574</v>
      </c>
      <c r="K715">
        <v>7003</v>
      </c>
      <c r="L715">
        <v>13132</v>
      </c>
      <c r="M715">
        <v>22829</v>
      </c>
      <c r="N715" s="2">
        <v>45796</v>
      </c>
      <c r="O715" s="2">
        <v>45701</v>
      </c>
      <c r="P715" s="1" t="s">
        <v>35</v>
      </c>
      <c r="Q715" s="1" t="s">
        <v>9</v>
      </c>
      <c r="R715" s="1" t="s">
        <v>22</v>
      </c>
      <c r="S715">
        <v>115</v>
      </c>
      <c r="T715" s="1" t="s">
        <v>1845</v>
      </c>
    </row>
    <row r="716" spans="1:20" x14ac:dyDescent="0.3">
      <c r="A716" s="1" t="s">
        <v>1846</v>
      </c>
      <c r="B716" s="1" t="s">
        <v>537</v>
      </c>
      <c r="C716">
        <v>20</v>
      </c>
      <c r="D716" s="1" t="s">
        <v>23</v>
      </c>
      <c r="E716" s="1" t="s">
        <v>27</v>
      </c>
      <c r="F716" s="1" t="s">
        <v>120</v>
      </c>
      <c r="G716" s="1" t="s">
        <v>85</v>
      </c>
      <c r="H716" s="1" t="s">
        <v>115</v>
      </c>
      <c r="I716">
        <v>939</v>
      </c>
      <c r="J716">
        <v>3151</v>
      </c>
      <c r="K716">
        <v>3782</v>
      </c>
      <c r="L716">
        <v>9394</v>
      </c>
      <c r="M716">
        <v>17266</v>
      </c>
      <c r="N716" s="2">
        <v>45669</v>
      </c>
      <c r="O716" s="2">
        <v>45812</v>
      </c>
      <c r="P716" s="1" t="s">
        <v>14</v>
      </c>
      <c r="Q716" s="1" t="s">
        <v>16</v>
      </c>
      <c r="R716" s="1" t="s">
        <v>17</v>
      </c>
      <c r="S716">
        <v>771</v>
      </c>
      <c r="T716" s="1" t="s">
        <v>1847</v>
      </c>
    </row>
    <row r="717" spans="1:20" x14ac:dyDescent="0.3">
      <c r="A717" s="1" t="s">
        <v>1848</v>
      </c>
      <c r="B717" s="1" t="s">
        <v>66</v>
      </c>
      <c r="C717">
        <v>38</v>
      </c>
      <c r="D717" s="1" t="s">
        <v>12</v>
      </c>
      <c r="E717" s="1" t="s">
        <v>40</v>
      </c>
      <c r="F717" s="1" t="s">
        <v>114</v>
      </c>
      <c r="G717" s="1" t="s">
        <v>125</v>
      </c>
      <c r="H717" s="1" t="s">
        <v>105</v>
      </c>
      <c r="I717">
        <v>1132</v>
      </c>
      <c r="J717">
        <v>2781</v>
      </c>
      <c r="K717">
        <v>4259</v>
      </c>
      <c r="L717">
        <v>5659</v>
      </c>
      <c r="M717">
        <v>13831</v>
      </c>
      <c r="N717" s="2">
        <v>46017</v>
      </c>
      <c r="O717" s="2">
        <v>45931</v>
      </c>
      <c r="P717" s="1" t="s">
        <v>110</v>
      </c>
      <c r="Q717" s="1" t="s">
        <v>16</v>
      </c>
      <c r="R717" s="1" t="s">
        <v>17</v>
      </c>
      <c r="S717">
        <v>845</v>
      </c>
      <c r="T717" s="1" t="s">
        <v>1849</v>
      </c>
    </row>
    <row r="718" spans="1:20" x14ac:dyDescent="0.3">
      <c r="A718" s="1" t="s">
        <v>1850</v>
      </c>
      <c r="B718" s="1" t="s">
        <v>367</v>
      </c>
      <c r="C718">
        <v>14</v>
      </c>
      <c r="D718" s="1" t="s">
        <v>12</v>
      </c>
      <c r="E718" s="1" t="s">
        <v>36</v>
      </c>
      <c r="F718" s="1" t="s">
        <v>84</v>
      </c>
      <c r="G718" s="1" t="s">
        <v>91</v>
      </c>
      <c r="H718" s="1" t="s">
        <v>18</v>
      </c>
      <c r="I718">
        <v>1113</v>
      </c>
      <c r="J718">
        <v>2401</v>
      </c>
      <c r="K718">
        <v>3962</v>
      </c>
      <c r="L718">
        <v>7059</v>
      </c>
      <c r="M718">
        <v>14535</v>
      </c>
      <c r="N718" s="2">
        <v>45902</v>
      </c>
      <c r="O718" s="2">
        <v>45946</v>
      </c>
      <c r="P718" s="1" t="s">
        <v>35</v>
      </c>
      <c r="Q718" s="1" t="s">
        <v>31</v>
      </c>
      <c r="R718" s="1" t="s">
        <v>87</v>
      </c>
      <c r="S718">
        <v>185</v>
      </c>
      <c r="T718" s="1" t="s">
        <v>1851</v>
      </c>
    </row>
    <row r="719" spans="1:20" x14ac:dyDescent="0.3">
      <c r="A719" s="1" t="s">
        <v>1852</v>
      </c>
      <c r="B719" s="1" t="s">
        <v>1031</v>
      </c>
      <c r="C719">
        <v>27</v>
      </c>
      <c r="D719" s="1" t="s">
        <v>12</v>
      </c>
      <c r="E719" s="1" t="s">
        <v>40</v>
      </c>
      <c r="F719" s="1" t="s">
        <v>84</v>
      </c>
      <c r="G719" s="1" t="s">
        <v>158</v>
      </c>
      <c r="H719" s="1" t="s">
        <v>37</v>
      </c>
      <c r="I719">
        <v>589</v>
      </c>
      <c r="J719">
        <v>3802</v>
      </c>
      <c r="K719">
        <v>5350</v>
      </c>
      <c r="L719">
        <v>14730</v>
      </c>
      <c r="M719">
        <v>24471</v>
      </c>
      <c r="N719" s="2">
        <v>45900</v>
      </c>
      <c r="O719" s="2">
        <v>45925</v>
      </c>
      <c r="P719" s="1" t="s">
        <v>136</v>
      </c>
      <c r="Q719" s="1" t="s">
        <v>9</v>
      </c>
      <c r="R719" s="1" t="s">
        <v>17</v>
      </c>
      <c r="S719">
        <v>521</v>
      </c>
      <c r="T719" s="1" t="s">
        <v>1853</v>
      </c>
    </row>
    <row r="720" spans="1:20" x14ac:dyDescent="0.3">
      <c r="A720" s="1" t="s">
        <v>1854</v>
      </c>
      <c r="B720" s="1" t="s">
        <v>28</v>
      </c>
      <c r="C720">
        <v>5</v>
      </c>
      <c r="D720" s="1" t="s">
        <v>12</v>
      </c>
      <c r="E720" s="1" t="s">
        <v>20</v>
      </c>
      <c r="F720" s="1" t="s">
        <v>120</v>
      </c>
      <c r="G720" s="1" t="s">
        <v>104</v>
      </c>
      <c r="H720" s="1" t="s">
        <v>18</v>
      </c>
      <c r="I720">
        <v>849</v>
      </c>
      <c r="J720">
        <v>2213</v>
      </c>
      <c r="K720">
        <v>6485</v>
      </c>
      <c r="L720">
        <v>10214</v>
      </c>
      <c r="M720">
        <v>19761</v>
      </c>
      <c r="N720" s="2">
        <v>45908</v>
      </c>
      <c r="O720" s="2">
        <v>45937</v>
      </c>
      <c r="P720" s="1" t="s">
        <v>116</v>
      </c>
      <c r="Q720" s="1" t="s">
        <v>31</v>
      </c>
      <c r="R720" s="1" t="s">
        <v>17</v>
      </c>
      <c r="S720">
        <v>572</v>
      </c>
      <c r="T720" s="1" t="s">
        <v>1855</v>
      </c>
    </row>
    <row r="721" spans="1:20" x14ac:dyDescent="0.3">
      <c r="A721" s="1" t="s">
        <v>1856</v>
      </c>
      <c r="B721" s="1" t="s">
        <v>1107</v>
      </c>
      <c r="C721">
        <v>72</v>
      </c>
      <c r="D721" s="1" t="s">
        <v>23</v>
      </c>
      <c r="E721" s="1" t="s">
        <v>24</v>
      </c>
      <c r="F721" s="1" t="s">
        <v>114</v>
      </c>
      <c r="G721" s="1" t="s">
        <v>85</v>
      </c>
      <c r="H721" s="1" t="s">
        <v>199</v>
      </c>
      <c r="I721">
        <v>458</v>
      </c>
      <c r="J721">
        <v>3577</v>
      </c>
      <c r="K721">
        <v>1342</v>
      </c>
      <c r="L721">
        <v>13400</v>
      </c>
      <c r="M721">
        <v>18777</v>
      </c>
      <c r="N721" s="2">
        <v>45664</v>
      </c>
      <c r="O721" s="2">
        <v>45740</v>
      </c>
      <c r="P721" s="1" t="s">
        <v>110</v>
      </c>
      <c r="Q721" s="1" t="s">
        <v>31</v>
      </c>
      <c r="R721" s="1" t="s">
        <v>17</v>
      </c>
      <c r="S721">
        <v>990</v>
      </c>
      <c r="T721" s="1" t="s">
        <v>1857</v>
      </c>
    </row>
    <row r="722" spans="1:20" x14ac:dyDescent="0.3">
      <c r="A722" s="1" t="s">
        <v>1858</v>
      </c>
      <c r="B722" s="1" t="s">
        <v>253</v>
      </c>
      <c r="C722">
        <v>64</v>
      </c>
      <c r="D722" s="1" t="s">
        <v>23</v>
      </c>
      <c r="E722" s="1" t="s">
        <v>36</v>
      </c>
      <c r="F722" s="1" t="s">
        <v>135</v>
      </c>
      <c r="G722" s="1" t="s">
        <v>104</v>
      </c>
      <c r="H722" s="1" t="s">
        <v>86</v>
      </c>
      <c r="I722">
        <v>1420</v>
      </c>
      <c r="J722">
        <v>3925</v>
      </c>
      <c r="K722">
        <v>3571</v>
      </c>
      <c r="L722">
        <v>1151</v>
      </c>
      <c r="M722">
        <v>10067</v>
      </c>
      <c r="N722" s="2">
        <v>45809</v>
      </c>
      <c r="O722" s="2">
        <v>45718</v>
      </c>
      <c r="P722" s="1" t="s">
        <v>93</v>
      </c>
      <c r="Q722" s="1" t="s">
        <v>21</v>
      </c>
      <c r="R722" s="1" t="s">
        <v>87</v>
      </c>
      <c r="S722">
        <v>430</v>
      </c>
      <c r="T722" s="1" t="s">
        <v>1859</v>
      </c>
    </row>
    <row r="723" spans="1:20" x14ac:dyDescent="0.3">
      <c r="A723" s="1" t="s">
        <v>1860</v>
      </c>
      <c r="B723" s="1" t="s">
        <v>102</v>
      </c>
      <c r="C723">
        <v>84</v>
      </c>
      <c r="D723" s="1" t="s">
        <v>23</v>
      </c>
      <c r="E723" s="1" t="s">
        <v>36</v>
      </c>
      <c r="F723" s="1" t="s">
        <v>109</v>
      </c>
      <c r="G723" s="1" t="s">
        <v>125</v>
      </c>
      <c r="H723" s="1" t="s">
        <v>26</v>
      </c>
      <c r="I723">
        <v>1371</v>
      </c>
      <c r="J723">
        <v>2174</v>
      </c>
      <c r="K723">
        <v>6876</v>
      </c>
      <c r="L723">
        <v>11059</v>
      </c>
      <c r="M723">
        <v>21480</v>
      </c>
      <c r="N723" s="2">
        <v>45848</v>
      </c>
      <c r="O723" s="2">
        <v>45923</v>
      </c>
      <c r="P723" s="1" t="s">
        <v>136</v>
      </c>
      <c r="Q723" s="1" t="s">
        <v>9</v>
      </c>
      <c r="R723" s="1" t="s">
        <v>22</v>
      </c>
      <c r="S723">
        <v>438</v>
      </c>
      <c r="T723" s="1" t="s">
        <v>1861</v>
      </c>
    </row>
    <row r="724" spans="1:20" x14ac:dyDescent="0.3">
      <c r="A724" s="1" t="s">
        <v>1862</v>
      </c>
      <c r="B724" s="1" t="s">
        <v>1815</v>
      </c>
      <c r="C724">
        <v>68</v>
      </c>
      <c r="D724" s="1" t="s">
        <v>12</v>
      </c>
      <c r="E724" s="1" t="s">
        <v>40</v>
      </c>
      <c r="F724" s="1" t="s">
        <v>103</v>
      </c>
      <c r="G724" s="1" t="s">
        <v>85</v>
      </c>
      <c r="H724" s="1" t="s">
        <v>186</v>
      </c>
      <c r="I724">
        <v>1152</v>
      </c>
      <c r="J724">
        <v>1968</v>
      </c>
      <c r="K724">
        <v>1531</v>
      </c>
      <c r="L724">
        <v>8708</v>
      </c>
      <c r="M724">
        <v>13359</v>
      </c>
      <c r="N724" s="2">
        <v>45692</v>
      </c>
      <c r="O724" s="2">
        <v>45660</v>
      </c>
      <c r="P724" s="1" t="s">
        <v>14</v>
      </c>
      <c r="Q724" s="1" t="s">
        <v>16</v>
      </c>
      <c r="R724" s="1" t="s">
        <v>87</v>
      </c>
      <c r="S724">
        <v>569</v>
      </c>
      <c r="T724" s="1" t="s">
        <v>1863</v>
      </c>
    </row>
    <row r="725" spans="1:20" x14ac:dyDescent="0.3">
      <c r="A725" s="1" t="s">
        <v>1864</v>
      </c>
      <c r="B725" s="1" t="s">
        <v>753</v>
      </c>
      <c r="C725">
        <v>80</v>
      </c>
      <c r="D725" s="1" t="s">
        <v>12</v>
      </c>
      <c r="E725" s="1" t="s">
        <v>36</v>
      </c>
      <c r="F725" s="1" t="s">
        <v>109</v>
      </c>
      <c r="G725" s="1" t="s">
        <v>176</v>
      </c>
      <c r="H725" s="1" t="s">
        <v>37</v>
      </c>
      <c r="I725">
        <v>1017</v>
      </c>
      <c r="J725">
        <v>2351</v>
      </c>
      <c r="K725">
        <v>3125</v>
      </c>
      <c r="L725">
        <v>11302</v>
      </c>
      <c r="M725">
        <v>17795</v>
      </c>
      <c r="N725" s="2">
        <v>45665</v>
      </c>
      <c r="O725" s="2">
        <v>45756</v>
      </c>
      <c r="P725" s="1" t="s">
        <v>14</v>
      </c>
      <c r="Q725" s="1" t="s">
        <v>9</v>
      </c>
      <c r="R725" s="1" t="s">
        <v>87</v>
      </c>
      <c r="S725">
        <v>846</v>
      </c>
      <c r="T725" s="1" t="s">
        <v>1865</v>
      </c>
    </row>
    <row r="726" spans="1:20" x14ac:dyDescent="0.3">
      <c r="A726" s="1" t="s">
        <v>1866</v>
      </c>
      <c r="B726" s="1" t="s">
        <v>1028</v>
      </c>
      <c r="C726">
        <v>52</v>
      </c>
      <c r="D726" s="1" t="s">
        <v>12</v>
      </c>
      <c r="E726" s="1" t="s">
        <v>24</v>
      </c>
      <c r="F726" s="1" t="s">
        <v>84</v>
      </c>
      <c r="G726" s="1" t="s">
        <v>85</v>
      </c>
      <c r="H726" s="1" t="s">
        <v>37</v>
      </c>
      <c r="I726">
        <v>612</v>
      </c>
      <c r="J726">
        <v>1343</v>
      </c>
      <c r="K726">
        <v>6285</v>
      </c>
      <c r="L726">
        <v>4546</v>
      </c>
      <c r="M726">
        <v>12786</v>
      </c>
      <c r="N726" s="2">
        <v>45801</v>
      </c>
      <c r="O726" s="2">
        <v>45749</v>
      </c>
      <c r="P726" s="1" t="s">
        <v>14</v>
      </c>
      <c r="Q726" s="1" t="s">
        <v>9</v>
      </c>
      <c r="R726" s="1" t="s">
        <v>17</v>
      </c>
      <c r="S726">
        <v>689</v>
      </c>
      <c r="T726" s="1" t="s">
        <v>1867</v>
      </c>
    </row>
    <row r="727" spans="1:20" x14ac:dyDescent="0.3">
      <c r="A727" s="1" t="s">
        <v>1868</v>
      </c>
      <c r="B727" s="1" t="s">
        <v>795</v>
      </c>
      <c r="C727">
        <v>36</v>
      </c>
      <c r="D727" s="1" t="s">
        <v>12</v>
      </c>
      <c r="E727" s="1" t="s">
        <v>15</v>
      </c>
      <c r="F727" s="1" t="s">
        <v>84</v>
      </c>
      <c r="G727" s="1" t="s">
        <v>125</v>
      </c>
      <c r="H727" s="1" t="s">
        <v>145</v>
      </c>
      <c r="I727">
        <v>305</v>
      </c>
      <c r="J727">
        <v>2399</v>
      </c>
      <c r="K727">
        <v>2073</v>
      </c>
      <c r="L727">
        <v>2496</v>
      </c>
      <c r="M727">
        <v>7273</v>
      </c>
      <c r="N727" s="2">
        <v>45972</v>
      </c>
      <c r="O727" s="2">
        <v>45733</v>
      </c>
      <c r="P727" s="1" t="s">
        <v>25</v>
      </c>
      <c r="Q727" s="1" t="s">
        <v>16</v>
      </c>
      <c r="R727" s="1" t="s">
        <v>17</v>
      </c>
      <c r="S727">
        <v>179</v>
      </c>
      <c r="T727" s="1" t="s">
        <v>1869</v>
      </c>
    </row>
    <row r="728" spans="1:20" x14ac:dyDescent="0.3">
      <c r="A728" s="1" t="s">
        <v>1870</v>
      </c>
      <c r="B728" s="1" t="s">
        <v>1138</v>
      </c>
      <c r="C728">
        <v>66</v>
      </c>
      <c r="D728" s="1" t="s">
        <v>12</v>
      </c>
      <c r="E728" s="1" t="s">
        <v>38</v>
      </c>
      <c r="F728" s="1" t="s">
        <v>120</v>
      </c>
      <c r="G728" s="1" t="s">
        <v>125</v>
      </c>
      <c r="H728" s="1" t="s">
        <v>215</v>
      </c>
      <c r="I728">
        <v>969</v>
      </c>
      <c r="J728">
        <v>2978</v>
      </c>
      <c r="K728">
        <v>4399</v>
      </c>
      <c r="L728">
        <v>13451</v>
      </c>
      <c r="M728">
        <v>21797</v>
      </c>
      <c r="N728" s="2">
        <v>45718</v>
      </c>
      <c r="O728" s="2">
        <v>45781</v>
      </c>
      <c r="P728" s="1" t="s">
        <v>110</v>
      </c>
      <c r="Q728" s="1" t="s">
        <v>9</v>
      </c>
      <c r="R728" s="1" t="s">
        <v>87</v>
      </c>
      <c r="S728">
        <v>585</v>
      </c>
      <c r="T728" s="1" t="s">
        <v>1871</v>
      </c>
    </row>
    <row r="729" spans="1:20" x14ac:dyDescent="0.3">
      <c r="A729" s="1" t="s">
        <v>1872</v>
      </c>
      <c r="B729" s="1" t="s">
        <v>1873</v>
      </c>
      <c r="C729">
        <v>41</v>
      </c>
      <c r="D729" s="1" t="s">
        <v>23</v>
      </c>
      <c r="E729" s="1" t="s">
        <v>36</v>
      </c>
      <c r="F729" s="1" t="s">
        <v>84</v>
      </c>
      <c r="G729" s="1" t="s">
        <v>104</v>
      </c>
      <c r="H729" s="1" t="s">
        <v>145</v>
      </c>
      <c r="I729">
        <v>868</v>
      </c>
      <c r="J729">
        <v>1670</v>
      </c>
      <c r="K729">
        <v>7180</v>
      </c>
      <c r="L729">
        <v>8163</v>
      </c>
      <c r="M729">
        <v>17881</v>
      </c>
      <c r="N729" s="2">
        <v>45944</v>
      </c>
      <c r="O729" s="2">
        <v>45884</v>
      </c>
      <c r="P729" s="1" t="s">
        <v>116</v>
      </c>
      <c r="Q729" s="1" t="s">
        <v>16</v>
      </c>
      <c r="R729" s="1" t="s">
        <v>87</v>
      </c>
      <c r="S729">
        <v>545</v>
      </c>
      <c r="T729" s="1" t="s">
        <v>1874</v>
      </c>
    </row>
    <row r="730" spans="1:20" x14ac:dyDescent="0.3">
      <c r="A730" s="1" t="s">
        <v>1875</v>
      </c>
      <c r="B730" s="1" t="s">
        <v>1126</v>
      </c>
      <c r="C730">
        <v>4</v>
      </c>
      <c r="D730" s="1" t="s">
        <v>12</v>
      </c>
      <c r="E730" s="1" t="s">
        <v>15</v>
      </c>
      <c r="F730" s="1" t="s">
        <v>135</v>
      </c>
      <c r="G730" s="1" t="s">
        <v>104</v>
      </c>
      <c r="H730" s="1" t="s">
        <v>99</v>
      </c>
      <c r="I730">
        <v>1168</v>
      </c>
      <c r="J730">
        <v>2251</v>
      </c>
      <c r="K730">
        <v>5354</v>
      </c>
      <c r="L730">
        <v>10171</v>
      </c>
      <c r="M730">
        <v>18944</v>
      </c>
      <c r="N730" s="2">
        <v>45755</v>
      </c>
      <c r="O730" s="2">
        <v>45853</v>
      </c>
      <c r="P730" s="1" t="s">
        <v>177</v>
      </c>
      <c r="Q730" s="1" t="s">
        <v>16</v>
      </c>
      <c r="R730" s="1" t="s">
        <v>22</v>
      </c>
      <c r="S730">
        <v>552</v>
      </c>
      <c r="T730" s="1" t="s">
        <v>1876</v>
      </c>
    </row>
    <row r="731" spans="1:20" x14ac:dyDescent="0.3">
      <c r="A731" s="1" t="s">
        <v>1877</v>
      </c>
      <c r="B731" s="1" t="s">
        <v>1165</v>
      </c>
      <c r="C731">
        <v>1</v>
      </c>
      <c r="D731" s="1" t="s">
        <v>12</v>
      </c>
      <c r="E731" s="1" t="s">
        <v>36</v>
      </c>
      <c r="F731" s="1" t="s">
        <v>97</v>
      </c>
      <c r="G731" s="1" t="s">
        <v>104</v>
      </c>
      <c r="H731" s="1" t="s">
        <v>13</v>
      </c>
      <c r="I731">
        <v>1055</v>
      </c>
      <c r="J731">
        <v>2578</v>
      </c>
      <c r="K731">
        <v>4418</v>
      </c>
      <c r="L731">
        <v>1212</v>
      </c>
      <c r="M731">
        <v>9263</v>
      </c>
      <c r="N731" s="2">
        <v>45968</v>
      </c>
      <c r="O731" s="2">
        <v>45797</v>
      </c>
      <c r="P731" s="1" t="s">
        <v>34</v>
      </c>
      <c r="Q731" s="1" t="s">
        <v>9</v>
      </c>
      <c r="R731" s="1" t="s">
        <v>17</v>
      </c>
      <c r="S731">
        <v>144</v>
      </c>
      <c r="T731" s="1" t="s">
        <v>1878</v>
      </c>
    </row>
    <row r="732" spans="1:20" x14ac:dyDescent="0.3">
      <c r="A732" s="1" t="s">
        <v>1879</v>
      </c>
      <c r="B732" s="1" t="s">
        <v>1792</v>
      </c>
      <c r="C732">
        <v>81</v>
      </c>
      <c r="D732" s="1" t="s">
        <v>23</v>
      </c>
      <c r="E732" s="1" t="s">
        <v>33</v>
      </c>
      <c r="F732" s="1" t="s">
        <v>103</v>
      </c>
      <c r="G732" s="1" t="s">
        <v>91</v>
      </c>
      <c r="H732" s="1" t="s">
        <v>215</v>
      </c>
      <c r="I732">
        <v>1230</v>
      </c>
      <c r="J732">
        <v>4516</v>
      </c>
      <c r="K732">
        <v>1723</v>
      </c>
      <c r="L732">
        <v>8756</v>
      </c>
      <c r="M732">
        <v>16225</v>
      </c>
      <c r="N732" s="2">
        <v>45989</v>
      </c>
      <c r="O732" s="2">
        <v>45937</v>
      </c>
      <c r="P732" s="1" t="s">
        <v>35</v>
      </c>
      <c r="Q732" s="1" t="s">
        <v>16</v>
      </c>
      <c r="R732" s="1" t="s">
        <v>87</v>
      </c>
      <c r="S732">
        <v>830</v>
      </c>
      <c r="T732" s="1" t="s">
        <v>1880</v>
      </c>
    </row>
    <row r="733" spans="1:20" x14ac:dyDescent="0.3">
      <c r="A733" s="1" t="s">
        <v>1881</v>
      </c>
      <c r="B733" s="1" t="s">
        <v>1882</v>
      </c>
      <c r="C733">
        <v>11</v>
      </c>
      <c r="D733" s="1" t="s">
        <v>12</v>
      </c>
      <c r="E733" s="1" t="s">
        <v>33</v>
      </c>
      <c r="F733" s="1" t="s">
        <v>114</v>
      </c>
      <c r="G733" s="1" t="s">
        <v>91</v>
      </c>
      <c r="H733" s="1" t="s">
        <v>29</v>
      </c>
      <c r="I733">
        <v>1208</v>
      </c>
      <c r="J733">
        <v>1010</v>
      </c>
      <c r="K733">
        <v>2874</v>
      </c>
      <c r="L733">
        <v>2597</v>
      </c>
      <c r="M733">
        <v>7689</v>
      </c>
      <c r="N733" s="2">
        <v>45936</v>
      </c>
      <c r="O733" s="2">
        <v>45800</v>
      </c>
      <c r="P733" s="1" t="s">
        <v>19</v>
      </c>
      <c r="Q733" s="1" t="s">
        <v>21</v>
      </c>
      <c r="R733" s="1" t="s">
        <v>87</v>
      </c>
      <c r="S733">
        <v>273</v>
      </c>
      <c r="T733" s="1" t="s">
        <v>1883</v>
      </c>
    </row>
    <row r="734" spans="1:20" x14ac:dyDescent="0.3">
      <c r="A734" s="1" t="s">
        <v>1884</v>
      </c>
      <c r="B734" s="1" t="s">
        <v>404</v>
      </c>
      <c r="C734">
        <v>67</v>
      </c>
      <c r="D734" s="1" t="s">
        <v>23</v>
      </c>
      <c r="E734" s="1" t="s">
        <v>24</v>
      </c>
      <c r="F734" s="1" t="s">
        <v>120</v>
      </c>
      <c r="G734" s="1" t="s">
        <v>85</v>
      </c>
      <c r="H734" s="1" t="s">
        <v>199</v>
      </c>
      <c r="I734">
        <v>425</v>
      </c>
      <c r="J734">
        <v>1032</v>
      </c>
      <c r="K734">
        <v>1880</v>
      </c>
      <c r="L734">
        <v>14517</v>
      </c>
      <c r="M734">
        <v>17854</v>
      </c>
      <c r="N734" s="2">
        <v>45914</v>
      </c>
      <c r="O734" s="2">
        <v>45733</v>
      </c>
      <c r="P734" s="1" t="s">
        <v>14</v>
      </c>
      <c r="Q734" s="1" t="s">
        <v>9</v>
      </c>
      <c r="R734" s="1" t="s">
        <v>22</v>
      </c>
      <c r="S734">
        <v>382</v>
      </c>
      <c r="T734" s="1" t="s">
        <v>1885</v>
      </c>
    </row>
    <row r="735" spans="1:20" x14ac:dyDescent="0.3">
      <c r="A735" s="1" t="s">
        <v>1886</v>
      </c>
      <c r="B735" s="1" t="s">
        <v>1069</v>
      </c>
      <c r="C735">
        <v>53</v>
      </c>
      <c r="D735" s="1" t="s">
        <v>23</v>
      </c>
      <c r="E735" s="1" t="s">
        <v>27</v>
      </c>
      <c r="F735" s="1" t="s">
        <v>103</v>
      </c>
      <c r="G735" s="1" t="s">
        <v>158</v>
      </c>
      <c r="H735" s="1" t="s">
        <v>26</v>
      </c>
      <c r="I735">
        <v>860</v>
      </c>
      <c r="J735">
        <v>3372</v>
      </c>
      <c r="K735">
        <v>1264</v>
      </c>
      <c r="L735">
        <v>6594</v>
      </c>
      <c r="M735">
        <v>12090</v>
      </c>
      <c r="N735" s="2">
        <v>45896</v>
      </c>
      <c r="O735" s="2">
        <v>45948</v>
      </c>
      <c r="P735" s="1" t="s">
        <v>35</v>
      </c>
      <c r="Q735" s="1" t="s">
        <v>16</v>
      </c>
      <c r="R735" s="1" t="s">
        <v>22</v>
      </c>
      <c r="S735">
        <v>286</v>
      </c>
      <c r="T735" s="1" t="s">
        <v>1887</v>
      </c>
    </row>
    <row r="736" spans="1:20" x14ac:dyDescent="0.3">
      <c r="A736" s="1" t="s">
        <v>1888</v>
      </c>
      <c r="B736" s="1" t="s">
        <v>898</v>
      </c>
      <c r="C736">
        <v>41</v>
      </c>
      <c r="D736" s="1" t="s">
        <v>23</v>
      </c>
      <c r="E736" s="1" t="s">
        <v>15</v>
      </c>
      <c r="F736" s="1" t="s">
        <v>109</v>
      </c>
      <c r="G736" s="1" t="s">
        <v>91</v>
      </c>
      <c r="H736" s="1" t="s">
        <v>18</v>
      </c>
      <c r="I736">
        <v>745</v>
      </c>
      <c r="J736">
        <v>3568</v>
      </c>
      <c r="K736">
        <v>4071</v>
      </c>
      <c r="L736">
        <v>2331</v>
      </c>
      <c r="M736">
        <v>10715</v>
      </c>
      <c r="N736" s="2">
        <v>45784</v>
      </c>
      <c r="O736" s="2">
        <v>45815</v>
      </c>
      <c r="P736" s="1" t="s">
        <v>19</v>
      </c>
      <c r="Q736" s="1" t="s">
        <v>16</v>
      </c>
      <c r="R736" s="1" t="s">
        <v>17</v>
      </c>
      <c r="S736">
        <v>822</v>
      </c>
      <c r="T736" s="1" t="s">
        <v>1889</v>
      </c>
    </row>
    <row r="737" spans="1:20" x14ac:dyDescent="0.3">
      <c r="A737" s="1" t="s">
        <v>1890</v>
      </c>
      <c r="B737" s="1" t="s">
        <v>634</v>
      </c>
      <c r="C737">
        <v>18</v>
      </c>
      <c r="D737" s="1" t="s">
        <v>12</v>
      </c>
      <c r="E737" s="1" t="s">
        <v>27</v>
      </c>
      <c r="F737" s="1" t="s">
        <v>120</v>
      </c>
      <c r="G737" s="1" t="s">
        <v>91</v>
      </c>
      <c r="H737" s="1" t="s">
        <v>105</v>
      </c>
      <c r="I737">
        <v>685</v>
      </c>
      <c r="J737">
        <v>2734</v>
      </c>
      <c r="K737">
        <v>7538</v>
      </c>
      <c r="L737">
        <v>4264</v>
      </c>
      <c r="M737">
        <v>15221</v>
      </c>
      <c r="N737" s="2">
        <v>45748</v>
      </c>
      <c r="O737" s="2">
        <v>45809</v>
      </c>
      <c r="P737" s="1" t="s">
        <v>14</v>
      </c>
      <c r="Q737" s="1" t="s">
        <v>16</v>
      </c>
      <c r="R737" s="1" t="s">
        <v>17</v>
      </c>
      <c r="S737">
        <v>463</v>
      </c>
      <c r="T737" s="1" t="s">
        <v>1891</v>
      </c>
    </row>
    <row r="738" spans="1:20" x14ac:dyDescent="0.3">
      <c r="A738" s="1" t="s">
        <v>1892</v>
      </c>
      <c r="B738" s="1" t="s">
        <v>1893</v>
      </c>
      <c r="C738">
        <v>83</v>
      </c>
      <c r="D738" s="1" t="s">
        <v>12</v>
      </c>
      <c r="E738" s="1" t="s">
        <v>20</v>
      </c>
      <c r="F738" s="1" t="s">
        <v>109</v>
      </c>
      <c r="G738" s="1" t="s">
        <v>104</v>
      </c>
      <c r="H738" s="1" t="s">
        <v>29</v>
      </c>
      <c r="I738">
        <v>1498</v>
      </c>
      <c r="J738">
        <v>3659</v>
      </c>
      <c r="K738">
        <v>1575</v>
      </c>
      <c r="L738">
        <v>9813</v>
      </c>
      <c r="M738">
        <v>16545</v>
      </c>
      <c r="N738" s="2">
        <v>45949</v>
      </c>
      <c r="O738" s="2">
        <v>45765</v>
      </c>
      <c r="P738" s="1" t="s">
        <v>93</v>
      </c>
      <c r="Q738" s="1" t="s">
        <v>21</v>
      </c>
      <c r="R738" s="1" t="s">
        <v>22</v>
      </c>
      <c r="S738">
        <v>450</v>
      </c>
      <c r="T738" s="1" t="s">
        <v>1894</v>
      </c>
    </row>
    <row r="739" spans="1:20" x14ac:dyDescent="0.3">
      <c r="A739" s="1" t="s">
        <v>1895</v>
      </c>
      <c r="B739" s="1" t="s">
        <v>1896</v>
      </c>
      <c r="C739">
        <v>35</v>
      </c>
      <c r="D739" s="1" t="s">
        <v>23</v>
      </c>
      <c r="E739" s="1" t="s">
        <v>27</v>
      </c>
      <c r="F739" s="1" t="s">
        <v>84</v>
      </c>
      <c r="G739" s="1" t="s">
        <v>85</v>
      </c>
      <c r="H739" s="1" t="s">
        <v>165</v>
      </c>
      <c r="I739">
        <v>746</v>
      </c>
      <c r="J739">
        <v>4331</v>
      </c>
      <c r="K739">
        <v>2436</v>
      </c>
      <c r="L739">
        <v>1515</v>
      </c>
      <c r="M739">
        <v>9028</v>
      </c>
      <c r="N739" s="2">
        <v>45717</v>
      </c>
      <c r="O739" s="2">
        <v>45922</v>
      </c>
      <c r="P739" s="1" t="s">
        <v>25</v>
      </c>
      <c r="Q739" s="1" t="s">
        <v>9</v>
      </c>
      <c r="R739" s="1" t="s">
        <v>87</v>
      </c>
      <c r="S739">
        <v>430</v>
      </c>
      <c r="T739" s="1" t="s">
        <v>1897</v>
      </c>
    </row>
    <row r="740" spans="1:20" x14ac:dyDescent="0.3">
      <c r="A740" s="1" t="s">
        <v>1898</v>
      </c>
      <c r="B740" s="1" t="s">
        <v>1040</v>
      </c>
      <c r="C740">
        <v>85</v>
      </c>
      <c r="D740" s="1" t="s">
        <v>23</v>
      </c>
      <c r="E740" s="1" t="s">
        <v>24</v>
      </c>
      <c r="F740" s="1" t="s">
        <v>97</v>
      </c>
      <c r="G740" s="1" t="s">
        <v>85</v>
      </c>
      <c r="H740" s="1" t="s">
        <v>13</v>
      </c>
      <c r="I740">
        <v>1034</v>
      </c>
      <c r="J740">
        <v>564</v>
      </c>
      <c r="K740">
        <v>1600</v>
      </c>
      <c r="L740">
        <v>7904</v>
      </c>
      <c r="M740">
        <v>11102</v>
      </c>
      <c r="N740" s="2">
        <v>45901</v>
      </c>
      <c r="O740" s="2">
        <v>45829</v>
      </c>
      <c r="P740" s="1" t="s">
        <v>177</v>
      </c>
      <c r="Q740" s="1" t="s">
        <v>21</v>
      </c>
      <c r="R740" s="1" t="s">
        <v>17</v>
      </c>
      <c r="S740">
        <v>266</v>
      </c>
      <c r="T740" s="1" t="s">
        <v>1899</v>
      </c>
    </row>
    <row r="741" spans="1:20" x14ac:dyDescent="0.3">
      <c r="A741" s="1" t="s">
        <v>1900</v>
      </c>
      <c r="B741" s="1" t="s">
        <v>1031</v>
      </c>
      <c r="C741">
        <v>3</v>
      </c>
      <c r="D741" s="1" t="s">
        <v>12</v>
      </c>
      <c r="E741" s="1" t="s">
        <v>20</v>
      </c>
      <c r="F741" s="1" t="s">
        <v>135</v>
      </c>
      <c r="G741" s="1" t="s">
        <v>125</v>
      </c>
      <c r="H741" s="1" t="s">
        <v>199</v>
      </c>
      <c r="I741">
        <v>1117</v>
      </c>
      <c r="J741">
        <v>4379</v>
      </c>
      <c r="K741">
        <v>7132</v>
      </c>
      <c r="L741">
        <v>4990</v>
      </c>
      <c r="M741">
        <v>17618</v>
      </c>
      <c r="N741" s="2">
        <v>45787</v>
      </c>
      <c r="O741" s="2">
        <v>45849</v>
      </c>
      <c r="P741" s="1" t="s">
        <v>136</v>
      </c>
      <c r="Q741" s="1" t="s">
        <v>9</v>
      </c>
      <c r="R741" s="1" t="s">
        <v>17</v>
      </c>
      <c r="S741">
        <v>141</v>
      </c>
      <c r="T741" s="1" t="s">
        <v>1901</v>
      </c>
    </row>
    <row r="742" spans="1:20" x14ac:dyDescent="0.3">
      <c r="A742" s="1" t="s">
        <v>1902</v>
      </c>
      <c r="B742" s="1" t="s">
        <v>1649</v>
      </c>
      <c r="C742">
        <v>14</v>
      </c>
      <c r="D742" s="1" t="s">
        <v>12</v>
      </c>
      <c r="E742" s="1" t="s">
        <v>36</v>
      </c>
      <c r="F742" s="1" t="s">
        <v>120</v>
      </c>
      <c r="G742" s="1" t="s">
        <v>98</v>
      </c>
      <c r="H742" s="1" t="s">
        <v>165</v>
      </c>
      <c r="I742">
        <v>1482</v>
      </c>
      <c r="J742">
        <v>3782</v>
      </c>
      <c r="K742">
        <v>5158</v>
      </c>
      <c r="L742">
        <v>1467</v>
      </c>
      <c r="M742">
        <v>11889</v>
      </c>
      <c r="N742" s="2">
        <v>45741</v>
      </c>
      <c r="O742" s="2">
        <v>45920</v>
      </c>
      <c r="P742" s="1" t="s">
        <v>25</v>
      </c>
      <c r="Q742" s="1" t="s">
        <v>31</v>
      </c>
      <c r="R742" s="1" t="s">
        <v>87</v>
      </c>
      <c r="S742">
        <v>869</v>
      </c>
      <c r="T742" s="1" t="s">
        <v>1903</v>
      </c>
    </row>
    <row r="743" spans="1:20" x14ac:dyDescent="0.3">
      <c r="A743" s="1" t="s">
        <v>1904</v>
      </c>
      <c r="B743" s="1" t="s">
        <v>647</v>
      </c>
      <c r="C743">
        <v>7</v>
      </c>
      <c r="D743" s="1" t="s">
        <v>23</v>
      </c>
      <c r="E743" s="1" t="s">
        <v>40</v>
      </c>
      <c r="F743" s="1" t="s">
        <v>124</v>
      </c>
      <c r="G743" s="1" t="s">
        <v>85</v>
      </c>
      <c r="H743" s="1" t="s">
        <v>86</v>
      </c>
      <c r="I743">
        <v>1008</v>
      </c>
      <c r="J743">
        <v>4257</v>
      </c>
      <c r="K743">
        <v>3543</v>
      </c>
      <c r="L743">
        <v>3708</v>
      </c>
      <c r="M743">
        <v>12516</v>
      </c>
      <c r="N743" s="2">
        <v>45893</v>
      </c>
      <c r="O743" s="2">
        <v>45658</v>
      </c>
      <c r="P743" s="1" t="s">
        <v>25</v>
      </c>
      <c r="Q743" s="1" t="s">
        <v>21</v>
      </c>
      <c r="R743" s="1" t="s">
        <v>17</v>
      </c>
      <c r="S743">
        <v>182</v>
      </c>
      <c r="T743" s="1" t="s">
        <v>1905</v>
      </c>
    </row>
    <row r="744" spans="1:20" x14ac:dyDescent="0.3">
      <c r="A744" s="1" t="s">
        <v>1906</v>
      </c>
      <c r="B744" s="1" t="s">
        <v>1907</v>
      </c>
      <c r="C744">
        <v>56</v>
      </c>
      <c r="D744" s="1" t="s">
        <v>23</v>
      </c>
      <c r="E744" s="1" t="s">
        <v>27</v>
      </c>
      <c r="F744" s="1" t="s">
        <v>84</v>
      </c>
      <c r="G744" s="1" t="s">
        <v>98</v>
      </c>
      <c r="H744" s="1" t="s">
        <v>86</v>
      </c>
      <c r="I744">
        <v>1437</v>
      </c>
      <c r="J744">
        <v>3565</v>
      </c>
      <c r="K744">
        <v>340</v>
      </c>
      <c r="L744">
        <v>8820</v>
      </c>
      <c r="M744">
        <v>14162</v>
      </c>
      <c r="N744" s="2">
        <v>45739</v>
      </c>
      <c r="O744" s="2">
        <v>45834</v>
      </c>
      <c r="P744" s="1" t="s">
        <v>35</v>
      </c>
      <c r="Q744" s="1" t="s">
        <v>9</v>
      </c>
      <c r="R744" s="1" t="s">
        <v>87</v>
      </c>
      <c r="S744">
        <v>317</v>
      </c>
      <c r="T744" s="1" t="s">
        <v>1908</v>
      </c>
    </row>
    <row r="745" spans="1:20" x14ac:dyDescent="0.3">
      <c r="A745" s="1" t="s">
        <v>1909</v>
      </c>
      <c r="B745" s="1" t="s">
        <v>66</v>
      </c>
      <c r="C745">
        <v>60</v>
      </c>
      <c r="D745" s="1" t="s">
        <v>23</v>
      </c>
      <c r="E745" s="1" t="s">
        <v>38</v>
      </c>
      <c r="F745" s="1" t="s">
        <v>114</v>
      </c>
      <c r="G745" s="1" t="s">
        <v>98</v>
      </c>
      <c r="H745" s="1" t="s">
        <v>155</v>
      </c>
      <c r="I745">
        <v>563</v>
      </c>
      <c r="J745">
        <v>3107</v>
      </c>
      <c r="K745">
        <v>6550</v>
      </c>
      <c r="L745">
        <v>3187</v>
      </c>
      <c r="M745">
        <v>13407</v>
      </c>
      <c r="N745" s="2">
        <v>45862</v>
      </c>
      <c r="O745" s="2">
        <v>45825</v>
      </c>
      <c r="P745" s="1" t="s">
        <v>14</v>
      </c>
      <c r="Q745" s="1" t="s">
        <v>9</v>
      </c>
      <c r="R745" s="1" t="s">
        <v>87</v>
      </c>
      <c r="S745">
        <v>173</v>
      </c>
      <c r="T745" s="1" t="s">
        <v>1910</v>
      </c>
    </row>
    <row r="746" spans="1:20" x14ac:dyDescent="0.3">
      <c r="A746" s="1" t="s">
        <v>1911</v>
      </c>
      <c r="B746" s="1" t="s">
        <v>692</v>
      </c>
      <c r="C746">
        <v>4</v>
      </c>
      <c r="D746" s="1" t="s">
        <v>23</v>
      </c>
      <c r="E746" s="1" t="s">
        <v>38</v>
      </c>
      <c r="F746" s="1" t="s">
        <v>109</v>
      </c>
      <c r="G746" s="1" t="s">
        <v>158</v>
      </c>
      <c r="H746" s="1" t="s">
        <v>105</v>
      </c>
      <c r="I746">
        <v>1055</v>
      </c>
      <c r="J746">
        <v>3467</v>
      </c>
      <c r="K746">
        <v>3084</v>
      </c>
      <c r="L746">
        <v>9215</v>
      </c>
      <c r="M746">
        <v>16821</v>
      </c>
      <c r="N746" s="2">
        <v>45658</v>
      </c>
      <c r="O746" s="2">
        <v>45970</v>
      </c>
      <c r="P746" s="1" t="s">
        <v>136</v>
      </c>
      <c r="Q746" s="1" t="s">
        <v>31</v>
      </c>
      <c r="R746" s="1" t="s">
        <v>22</v>
      </c>
      <c r="S746">
        <v>611</v>
      </c>
      <c r="T746" s="1" t="s">
        <v>1912</v>
      </c>
    </row>
    <row r="747" spans="1:20" x14ac:dyDescent="0.3">
      <c r="A747" s="1" t="s">
        <v>1913</v>
      </c>
      <c r="B747" s="1" t="s">
        <v>386</v>
      </c>
      <c r="C747">
        <v>39</v>
      </c>
      <c r="D747" s="1" t="s">
        <v>12</v>
      </c>
      <c r="E747" s="1" t="s">
        <v>27</v>
      </c>
      <c r="F747" s="1" t="s">
        <v>114</v>
      </c>
      <c r="G747" s="1" t="s">
        <v>158</v>
      </c>
      <c r="H747" s="1" t="s">
        <v>186</v>
      </c>
      <c r="I747">
        <v>1086</v>
      </c>
      <c r="J747">
        <v>1973</v>
      </c>
      <c r="K747">
        <v>3787</v>
      </c>
      <c r="L747">
        <v>3469</v>
      </c>
      <c r="M747">
        <v>10315</v>
      </c>
      <c r="N747" s="2">
        <v>45803</v>
      </c>
      <c r="O747" s="2">
        <v>45817</v>
      </c>
      <c r="P747" s="1" t="s">
        <v>93</v>
      </c>
      <c r="Q747" s="1" t="s">
        <v>21</v>
      </c>
      <c r="R747" s="1" t="s">
        <v>17</v>
      </c>
      <c r="S747">
        <v>283</v>
      </c>
      <c r="T747" s="1" t="s">
        <v>1914</v>
      </c>
    </row>
    <row r="748" spans="1:20" x14ac:dyDescent="0.3">
      <c r="A748" s="1" t="s">
        <v>1915</v>
      </c>
      <c r="B748" s="1" t="s">
        <v>341</v>
      </c>
      <c r="C748">
        <v>14</v>
      </c>
      <c r="D748" s="1" t="s">
        <v>12</v>
      </c>
      <c r="E748" s="1" t="s">
        <v>15</v>
      </c>
      <c r="F748" s="1" t="s">
        <v>114</v>
      </c>
      <c r="G748" s="1" t="s">
        <v>98</v>
      </c>
      <c r="H748" s="1" t="s">
        <v>99</v>
      </c>
      <c r="I748">
        <v>507</v>
      </c>
      <c r="J748">
        <v>3813</v>
      </c>
      <c r="K748">
        <v>6882</v>
      </c>
      <c r="L748">
        <v>14220</v>
      </c>
      <c r="M748">
        <v>25422</v>
      </c>
      <c r="N748" s="2">
        <v>45664</v>
      </c>
      <c r="O748" s="2">
        <v>45740</v>
      </c>
      <c r="P748" s="1" t="s">
        <v>177</v>
      </c>
      <c r="Q748" s="1" t="s">
        <v>9</v>
      </c>
      <c r="R748" s="1" t="s">
        <v>87</v>
      </c>
      <c r="S748">
        <v>565</v>
      </c>
      <c r="T748" s="1" t="s">
        <v>1916</v>
      </c>
    </row>
    <row r="749" spans="1:20" x14ac:dyDescent="0.3">
      <c r="A749" s="1" t="s">
        <v>1917</v>
      </c>
      <c r="B749" s="1" t="s">
        <v>66</v>
      </c>
      <c r="C749">
        <v>55</v>
      </c>
      <c r="D749" s="1" t="s">
        <v>23</v>
      </c>
      <c r="E749" s="1" t="s">
        <v>27</v>
      </c>
      <c r="F749" s="1" t="s">
        <v>124</v>
      </c>
      <c r="G749" s="1" t="s">
        <v>104</v>
      </c>
      <c r="H749" s="1" t="s">
        <v>199</v>
      </c>
      <c r="I749">
        <v>829</v>
      </c>
      <c r="J749">
        <v>1449</v>
      </c>
      <c r="K749">
        <v>5244</v>
      </c>
      <c r="L749">
        <v>14223</v>
      </c>
      <c r="M749">
        <v>21745</v>
      </c>
      <c r="N749" s="2">
        <v>45888</v>
      </c>
      <c r="O749" s="2">
        <v>45915</v>
      </c>
      <c r="P749" s="1" t="s">
        <v>177</v>
      </c>
      <c r="Q749" s="1" t="s">
        <v>21</v>
      </c>
      <c r="R749" s="1" t="s">
        <v>87</v>
      </c>
      <c r="S749">
        <v>473</v>
      </c>
      <c r="T749" s="1" t="s">
        <v>1918</v>
      </c>
    </row>
    <row r="750" spans="1:20" x14ac:dyDescent="0.3">
      <c r="A750" s="1" t="s">
        <v>1919</v>
      </c>
      <c r="B750" s="1" t="s">
        <v>1260</v>
      </c>
      <c r="C750">
        <v>69</v>
      </c>
      <c r="D750" s="1" t="s">
        <v>12</v>
      </c>
      <c r="E750" s="1" t="s">
        <v>27</v>
      </c>
      <c r="F750" s="1" t="s">
        <v>114</v>
      </c>
      <c r="G750" s="1" t="s">
        <v>125</v>
      </c>
      <c r="H750" s="1" t="s">
        <v>86</v>
      </c>
      <c r="I750">
        <v>314</v>
      </c>
      <c r="J750">
        <v>3261</v>
      </c>
      <c r="K750">
        <v>7952</v>
      </c>
      <c r="L750">
        <v>12592</v>
      </c>
      <c r="M750">
        <v>24119</v>
      </c>
      <c r="N750" s="2">
        <v>45960</v>
      </c>
      <c r="O750" s="2">
        <v>45790</v>
      </c>
      <c r="P750" s="1" t="s">
        <v>19</v>
      </c>
      <c r="Q750" s="1" t="s">
        <v>16</v>
      </c>
      <c r="R750" s="1" t="s">
        <v>17</v>
      </c>
      <c r="S750">
        <v>388</v>
      </c>
      <c r="T750" s="1" t="s">
        <v>1920</v>
      </c>
    </row>
    <row r="751" spans="1:20" x14ac:dyDescent="0.3">
      <c r="A751" s="1" t="s">
        <v>1921</v>
      </c>
      <c r="B751" s="1" t="s">
        <v>1506</v>
      </c>
      <c r="C751">
        <v>59</v>
      </c>
      <c r="D751" s="1" t="s">
        <v>12</v>
      </c>
      <c r="E751" s="1" t="s">
        <v>36</v>
      </c>
      <c r="F751" s="1" t="s">
        <v>103</v>
      </c>
      <c r="G751" s="1" t="s">
        <v>85</v>
      </c>
      <c r="H751" s="1" t="s">
        <v>99</v>
      </c>
      <c r="I751">
        <v>816</v>
      </c>
      <c r="J751">
        <v>3987</v>
      </c>
      <c r="K751">
        <v>3064</v>
      </c>
      <c r="L751">
        <v>12059</v>
      </c>
      <c r="M751">
        <v>19926</v>
      </c>
      <c r="N751" s="2">
        <v>45809</v>
      </c>
      <c r="O751" s="2">
        <v>45670</v>
      </c>
      <c r="P751" s="1" t="s">
        <v>110</v>
      </c>
      <c r="Q751" s="1" t="s">
        <v>21</v>
      </c>
      <c r="R751" s="1" t="s">
        <v>17</v>
      </c>
      <c r="S751">
        <v>527</v>
      </c>
      <c r="T751" s="1" t="s">
        <v>1922</v>
      </c>
    </row>
    <row r="752" spans="1:20" x14ac:dyDescent="0.3">
      <c r="A752" s="1" t="s">
        <v>1923</v>
      </c>
      <c r="B752" s="1" t="s">
        <v>1145</v>
      </c>
      <c r="C752">
        <v>39</v>
      </c>
      <c r="D752" s="1" t="s">
        <v>23</v>
      </c>
      <c r="E752" s="1" t="s">
        <v>24</v>
      </c>
      <c r="F752" s="1" t="s">
        <v>114</v>
      </c>
      <c r="G752" s="1" t="s">
        <v>85</v>
      </c>
      <c r="H752" s="1" t="s">
        <v>99</v>
      </c>
      <c r="I752">
        <v>374</v>
      </c>
      <c r="J752">
        <v>4852</v>
      </c>
      <c r="K752">
        <v>6351</v>
      </c>
      <c r="L752">
        <v>7491</v>
      </c>
      <c r="M752">
        <v>19068</v>
      </c>
      <c r="N752" s="2">
        <v>45785</v>
      </c>
      <c r="O752" s="2">
        <v>45747</v>
      </c>
      <c r="P752" s="1" t="s">
        <v>35</v>
      </c>
      <c r="Q752" s="1" t="s">
        <v>31</v>
      </c>
      <c r="R752" s="1" t="s">
        <v>87</v>
      </c>
      <c r="S752">
        <v>605</v>
      </c>
      <c r="T752" s="1" t="s">
        <v>1924</v>
      </c>
    </row>
    <row r="753" spans="1:20" x14ac:dyDescent="0.3">
      <c r="A753" s="1" t="s">
        <v>1925</v>
      </c>
      <c r="B753" s="1" t="s">
        <v>426</v>
      </c>
      <c r="C753">
        <v>59</v>
      </c>
      <c r="D753" s="1" t="s">
        <v>23</v>
      </c>
      <c r="E753" s="1" t="s">
        <v>38</v>
      </c>
      <c r="F753" s="1" t="s">
        <v>135</v>
      </c>
      <c r="G753" s="1" t="s">
        <v>98</v>
      </c>
      <c r="H753" s="1" t="s">
        <v>29</v>
      </c>
      <c r="I753">
        <v>456</v>
      </c>
      <c r="J753">
        <v>3175</v>
      </c>
      <c r="K753">
        <v>3353</v>
      </c>
      <c r="L753">
        <v>1627</v>
      </c>
      <c r="M753">
        <v>8611</v>
      </c>
      <c r="N753" s="2">
        <v>45733</v>
      </c>
      <c r="O753" s="2">
        <v>45969</v>
      </c>
      <c r="P753" s="1" t="s">
        <v>35</v>
      </c>
      <c r="Q753" s="1" t="s">
        <v>16</v>
      </c>
      <c r="R753" s="1" t="s">
        <v>17</v>
      </c>
      <c r="S753">
        <v>752</v>
      </c>
      <c r="T753" s="1" t="s">
        <v>1926</v>
      </c>
    </row>
    <row r="754" spans="1:20" x14ac:dyDescent="0.3">
      <c r="A754" s="1" t="s">
        <v>1927</v>
      </c>
      <c r="B754" s="1" t="s">
        <v>708</v>
      </c>
      <c r="C754">
        <v>52</v>
      </c>
      <c r="D754" s="1" t="s">
        <v>23</v>
      </c>
      <c r="E754" s="1" t="s">
        <v>36</v>
      </c>
      <c r="F754" s="1" t="s">
        <v>109</v>
      </c>
      <c r="G754" s="1" t="s">
        <v>98</v>
      </c>
      <c r="H754" s="1" t="s">
        <v>165</v>
      </c>
      <c r="I754">
        <v>462</v>
      </c>
      <c r="J754">
        <v>4050</v>
      </c>
      <c r="K754">
        <v>1253</v>
      </c>
      <c r="L754">
        <v>14003</v>
      </c>
      <c r="M754">
        <v>19768</v>
      </c>
      <c r="N754" s="2">
        <v>45756</v>
      </c>
      <c r="O754" s="2">
        <v>45950</v>
      </c>
      <c r="P754" s="1" t="s">
        <v>14</v>
      </c>
      <c r="Q754" s="1" t="s">
        <v>31</v>
      </c>
      <c r="R754" s="1" t="s">
        <v>87</v>
      </c>
      <c r="S754">
        <v>918</v>
      </c>
      <c r="T754" s="1" t="s">
        <v>1928</v>
      </c>
    </row>
    <row r="755" spans="1:20" x14ac:dyDescent="0.3">
      <c r="A755" s="1" t="s">
        <v>1929</v>
      </c>
      <c r="B755" s="1" t="s">
        <v>102</v>
      </c>
      <c r="C755">
        <v>61</v>
      </c>
      <c r="D755" s="1" t="s">
        <v>23</v>
      </c>
      <c r="E755" s="1" t="s">
        <v>15</v>
      </c>
      <c r="F755" s="1" t="s">
        <v>120</v>
      </c>
      <c r="G755" s="1" t="s">
        <v>104</v>
      </c>
      <c r="H755" s="1" t="s">
        <v>165</v>
      </c>
      <c r="I755">
        <v>680</v>
      </c>
      <c r="J755">
        <v>2767</v>
      </c>
      <c r="K755">
        <v>4408</v>
      </c>
      <c r="L755">
        <v>12000</v>
      </c>
      <c r="M755">
        <v>19855</v>
      </c>
      <c r="N755" s="2">
        <v>45681</v>
      </c>
      <c r="O755" s="2">
        <v>45967</v>
      </c>
      <c r="P755" s="1" t="s">
        <v>93</v>
      </c>
      <c r="Q755" s="1" t="s">
        <v>21</v>
      </c>
      <c r="R755" s="1" t="s">
        <v>17</v>
      </c>
      <c r="S755">
        <v>105</v>
      </c>
      <c r="T755" s="1" t="s">
        <v>1930</v>
      </c>
    </row>
    <row r="756" spans="1:20" x14ac:dyDescent="0.3">
      <c r="A756" s="1" t="s">
        <v>1931</v>
      </c>
      <c r="B756" s="1" t="s">
        <v>724</v>
      </c>
      <c r="C756">
        <v>54</v>
      </c>
      <c r="D756" s="1" t="s">
        <v>23</v>
      </c>
      <c r="E756" s="1" t="s">
        <v>40</v>
      </c>
      <c r="F756" s="1" t="s">
        <v>124</v>
      </c>
      <c r="G756" s="1" t="s">
        <v>158</v>
      </c>
      <c r="H756" s="1" t="s">
        <v>165</v>
      </c>
      <c r="I756">
        <v>1247</v>
      </c>
      <c r="J756">
        <v>3106</v>
      </c>
      <c r="K756">
        <v>1095</v>
      </c>
      <c r="L756">
        <v>4626</v>
      </c>
      <c r="M756">
        <v>10074</v>
      </c>
      <c r="N756" s="2">
        <v>45773</v>
      </c>
      <c r="O756" s="2">
        <v>45667</v>
      </c>
      <c r="P756" s="1" t="s">
        <v>177</v>
      </c>
      <c r="Q756" s="1" t="s">
        <v>21</v>
      </c>
      <c r="R756" s="1" t="s">
        <v>87</v>
      </c>
      <c r="S756">
        <v>829</v>
      </c>
      <c r="T756" s="1" t="s">
        <v>1932</v>
      </c>
    </row>
    <row r="757" spans="1:20" x14ac:dyDescent="0.3">
      <c r="A757" s="1" t="s">
        <v>1933</v>
      </c>
      <c r="B757" s="1" t="s">
        <v>1934</v>
      </c>
      <c r="C757">
        <v>54</v>
      </c>
      <c r="D757" s="1" t="s">
        <v>12</v>
      </c>
      <c r="E757" s="1" t="s">
        <v>15</v>
      </c>
      <c r="F757" s="1" t="s">
        <v>120</v>
      </c>
      <c r="G757" s="1" t="s">
        <v>125</v>
      </c>
      <c r="H757" s="1" t="s">
        <v>215</v>
      </c>
      <c r="I757">
        <v>1442</v>
      </c>
      <c r="J757">
        <v>602</v>
      </c>
      <c r="K757">
        <v>3109</v>
      </c>
      <c r="L757">
        <v>6580</v>
      </c>
      <c r="M757">
        <v>11733</v>
      </c>
      <c r="N757" s="2">
        <v>45821</v>
      </c>
      <c r="O757" s="2">
        <v>45835</v>
      </c>
      <c r="P757" s="1" t="s">
        <v>116</v>
      </c>
      <c r="Q757" s="1" t="s">
        <v>9</v>
      </c>
      <c r="R757" s="1" t="s">
        <v>22</v>
      </c>
      <c r="S757">
        <v>645</v>
      </c>
      <c r="T757" s="1" t="s">
        <v>1935</v>
      </c>
    </row>
    <row r="758" spans="1:20" x14ac:dyDescent="0.3">
      <c r="A758" s="1" t="s">
        <v>1936</v>
      </c>
      <c r="B758" s="1" t="s">
        <v>971</v>
      </c>
      <c r="C758">
        <v>33</v>
      </c>
      <c r="D758" s="1" t="s">
        <v>12</v>
      </c>
      <c r="E758" s="1" t="s">
        <v>36</v>
      </c>
      <c r="F758" s="1" t="s">
        <v>103</v>
      </c>
      <c r="G758" s="1" t="s">
        <v>176</v>
      </c>
      <c r="H758" s="1" t="s">
        <v>37</v>
      </c>
      <c r="I758">
        <v>1296</v>
      </c>
      <c r="J758">
        <v>3328</v>
      </c>
      <c r="K758">
        <v>980</v>
      </c>
      <c r="L758">
        <v>4400</v>
      </c>
      <c r="M758">
        <v>10004</v>
      </c>
      <c r="N758" s="2">
        <v>45929</v>
      </c>
      <c r="O758" s="2">
        <v>45847</v>
      </c>
      <c r="P758" s="1" t="s">
        <v>14</v>
      </c>
      <c r="Q758" s="1" t="s">
        <v>21</v>
      </c>
      <c r="R758" s="1" t="s">
        <v>17</v>
      </c>
      <c r="S758">
        <v>790</v>
      </c>
      <c r="T758" s="1" t="s">
        <v>1937</v>
      </c>
    </row>
    <row r="759" spans="1:20" x14ac:dyDescent="0.3">
      <c r="A759" s="1" t="s">
        <v>1938</v>
      </c>
      <c r="B759" s="1" t="s">
        <v>308</v>
      </c>
      <c r="C759">
        <v>80</v>
      </c>
      <c r="D759" s="1" t="s">
        <v>23</v>
      </c>
      <c r="E759" s="1" t="s">
        <v>38</v>
      </c>
      <c r="F759" s="1" t="s">
        <v>97</v>
      </c>
      <c r="G759" s="1" t="s">
        <v>98</v>
      </c>
      <c r="H759" s="1" t="s">
        <v>199</v>
      </c>
      <c r="I759">
        <v>1150</v>
      </c>
      <c r="J759">
        <v>691</v>
      </c>
      <c r="K759">
        <v>6455</v>
      </c>
      <c r="L759">
        <v>5651</v>
      </c>
      <c r="M759">
        <v>13947</v>
      </c>
      <c r="N759" s="2">
        <v>45942</v>
      </c>
      <c r="O759" s="2">
        <v>45909</v>
      </c>
      <c r="P759" s="1" t="s">
        <v>19</v>
      </c>
      <c r="Q759" s="1" t="s">
        <v>31</v>
      </c>
      <c r="R759" s="1" t="s">
        <v>17</v>
      </c>
      <c r="S759">
        <v>721</v>
      </c>
      <c r="T759" s="1" t="s">
        <v>1939</v>
      </c>
    </row>
    <row r="760" spans="1:20" x14ac:dyDescent="0.3">
      <c r="A760" s="1" t="s">
        <v>1940</v>
      </c>
      <c r="B760" s="1" t="s">
        <v>1339</v>
      </c>
      <c r="C760">
        <v>51</v>
      </c>
      <c r="D760" s="1" t="s">
        <v>23</v>
      </c>
      <c r="E760" s="1" t="s">
        <v>20</v>
      </c>
      <c r="F760" s="1" t="s">
        <v>84</v>
      </c>
      <c r="G760" s="1" t="s">
        <v>176</v>
      </c>
      <c r="H760" s="1" t="s">
        <v>13</v>
      </c>
      <c r="I760">
        <v>1468</v>
      </c>
      <c r="J760">
        <v>2870</v>
      </c>
      <c r="K760">
        <v>1763</v>
      </c>
      <c r="L760">
        <v>3606</v>
      </c>
      <c r="M760">
        <v>9707</v>
      </c>
      <c r="N760" s="2">
        <v>45863</v>
      </c>
      <c r="O760" s="2">
        <v>45939</v>
      </c>
      <c r="P760" s="1" t="s">
        <v>93</v>
      </c>
      <c r="Q760" s="1" t="s">
        <v>31</v>
      </c>
      <c r="R760" s="1" t="s">
        <v>17</v>
      </c>
      <c r="S760">
        <v>713</v>
      </c>
      <c r="T760" s="1" t="s">
        <v>1941</v>
      </c>
    </row>
    <row r="761" spans="1:20" x14ac:dyDescent="0.3">
      <c r="A761" s="1" t="s">
        <v>1942</v>
      </c>
      <c r="B761" s="1" t="s">
        <v>233</v>
      </c>
      <c r="C761">
        <v>81</v>
      </c>
      <c r="D761" s="1" t="s">
        <v>23</v>
      </c>
      <c r="E761" s="1" t="s">
        <v>15</v>
      </c>
      <c r="F761" s="1" t="s">
        <v>97</v>
      </c>
      <c r="G761" s="1" t="s">
        <v>176</v>
      </c>
      <c r="H761" s="1" t="s">
        <v>155</v>
      </c>
      <c r="I761">
        <v>761</v>
      </c>
      <c r="J761">
        <v>3809</v>
      </c>
      <c r="K761">
        <v>4353</v>
      </c>
      <c r="L761">
        <v>13399</v>
      </c>
      <c r="M761">
        <v>22322</v>
      </c>
      <c r="N761" s="2">
        <v>45895</v>
      </c>
      <c r="O761" s="2">
        <v>45804</v>
      </c>
      <c r="P761" s="1" t="s">
        <v>116</v>
      </c>
      <c r="Q761" s="1" t="s">
        <v>31</v>
      </c>
      <c r="R761" s="1" t="s">
        <v>17</v>
      </c>
      <c r="S761">
        <v>395</v>
      </c>
      <c r="T761" s="1" t="s">
        <v>1943</v>
      </c>
    </row>
    <row r="762" spans="1:20" x14ac:dyDescent="0.3">
      <c r="A762" s="1" t="s">
        <v>1944</v>
      </c>
      <c r="B762" s="1" t="s">
        <v>1945</v>
      </c>
      <c r="C762">
        <v>60</v>
      </c>
      <c r="D762" s="1" t="s">
        <v>23</v>
      </c>
      <c r="E762" s="1" t="s">
        <v>40</v>
      </c>
      <c r="F762" s="1" t="s">
        <v>114</v>
      </c>
      <c r="G762" s="1" t="s">
        <v>85</v>
      </c>
      <c r="H762" s="1" t="s">
        <v>155</v>
      </c>
      <c r="I762">
        <v>1488</v>
      </c>
      <c r="J762">
        <v>3925</v>
      </c>
      <c r="K762">
        <v>3726</v>
      </c>
      <c r="L762">
        <v>7722</v>
      </c>
      <c r="M762">
        <v>16861</v>
      </c>
      <c r="N762" s="2">
        <v>45754</v>
      </c>
      <c r="O762" s="2">
        <v>45983</v>
      </c>
      <c r="P762" s="1" t="s">
        <v>34</v>
      </c>
      <c r="Q762" s="1" t="s">
        <v>16</v>
      </c>
      <c r="R762" s="1" t="s">
        <v>87</v>
      </c>
      <c r="S762">
        <v>684</v>
      </c>
      <c r="T762" s="1" t="s">
        <v>1946</v>
      </c>
    </row>
    <row r="763" spans="1:20" x14ac:dyDescent="0.3">
      <c r="A763" s="1" t="s">
        <v>1947</v>
      </c>
      <c r="B763" s="1" t="s">
        <v>32</v>
      </c>
      <c r="C763">
        <v>42</v>
      </c>
      <c r="D763" s="1" t="s">
        <v>23</v>
      </c>
      <c r="E763" s="1" t="s">
        <v>40</v>
      </c>
      <c r="F763" s="1" t="s">
        <v>109</v>
      </c>
      <c r="G763" s="1" t="s">
        <v>176</v>
      </c>
      <c r="H763" s="1" t="s">
        <v>215</v>
      </c>
      <c r="I763">
        <v>486</v>
      </c>
      <c r="J763">
        <v>3533</v>
      </c>
      <c r="K763">
        <v>486</v>
      </c>
      <c r="L763">
        <v>13172</v>
      </c>
      <c r="M763">
        <v>17677</v>
      </c>
      <c r="N763" s="2">
        <v>45965</v>
      </c>
      <c r="O763" s="2">
        <v>45992</v>
      </c>
      <c r="P763" s="1" t="s">
        <v>93</v>
      </c>
      <c r="Q763" s="1" t="s">
        <v>31</v>
      </c>
      <c r="R763" s="1" t="s">
        <v>17</v>
      </c>
      <c r="S763">
        <v>477</v>
      </c>
      <c r="T763" s="1" t="s">
        <v>1948</v>
      </c>
    </row>
    <row r="764" spans="1:20" x14ac:dyDescent="0.3">
      <c r="A764" s="1" t="s">
        <v>1949</v>
      </c>
      <c r="B764" s="1" t="s">
        <v>148</v>
      </c>
      <c r="C764">
        <v>61</v>
      </c>
      <c r="D764" s="1" t="s">
        <v>23</v>
      </c>
      <c r="E764" s="1" t="s">
        <v>27</v>
      </c>
      <c r="F764" s="1" t="s">
        <v>97</v>
      </c>
      <c r="G764" s="1" t="s">
        <v>85</v>
      </c>
      <c r="H764" s="1" t="s">
        <v>86</v>
      </c>
      <c r="I764">
        <v>900</v>
      </c>
      <c r="J764">
        <v>1030</v>
      </c>
      <c r="K764">
        <v>7627</v>
      </c>
      <c r="L764">
        <v>1506</v>
      </c>
      <c r="M764">
        <v>11063</v>
      </c>
      <c r="N764" s="2">
        <v>45763</v>
      </c>
      <c r="O764" s="2">
        <v>45953</v>
      </c>
      <c r="P764" s="1" t="s">
        <v>116</v>
      </c>
      <c r="Q764" s="1" t="s">
        <v>9</v>
      </c>
      <c r="R764" s="1" t="s">
        <v>22</v>
      </c>
      <c r="S764">
        <v>915</v>
      </c>
      <c r="T764" s="1" t="s">
        <v>1950</v>
      </c>
    </row>
    <row r="765" spans="1:20" x14ac:dyDescent="0.3">
      <c r="A765" s="1" t="s">
        <v>1951</v>
      </c>
      <c r="B765" s="1" t="s">
        <v>198</v>
      </c>
      <c r="C765">
        <v>83</v>
      </c>
      <c r="D765" s="1" t="s">
        <v>23</v>
      </c>
      <c r="E765" s="1" t="s">
        <v>27</v>
      </c>
      <c r="F765" s="1" t="s">
        <v>97</v>
      </c>
      <c r="G765" s="1" t="s">
        <v>176</v>
      </c>
      <c r="H765" s="1" t="s">
        <v>145</v>
      </c>
      <c r="I765">
        <v>801</v>
      </c>
      <c r="J765">
        <v>4286</v>
      </c>
      <c r="K765">
        <v>6215</v>
      </c>
      <c r="L765">
        <v>2144</v>
      </c>
      <c r="M765">
        <v>13446</v>
      </c>
      <c r="N765" s="2">
        <v>45661</v>
      </c>
      <c r="O765" s="2">
        <v>45674</v>
      </c>
      <c r="P765" s="1" t="s">
        <v>93</v>
      </c>
      <c r="Q765" s="1" t="s">
        <v>9</v>
      </c>
      <c r="R765" s="1" t="s">
        <v>22</v>
      </c>
      <c r="S765">
        <v>901</v>
      </c>
      <c r="T765" s="1" t="s">
        <v>1952</v>
      </c>
    </row>
    <row r="766" spans="1:20" x14ac:dyDescent="0.3">
      <c r="A766" s="1" t="s">
        <v>1953</v>
      </c>
      <c r="B766" s="1" t="s">
        <v>1810</v>
      </c>
      <c r="C766">
        <v>16</v>
      </c>
      <c r="D766" s="1" t="s">
        <v>23</v>
      </c>
      <c r="E766" s="1" t="s">
        <v>27</v>
      </c>
      <c r="F766" s="1" t="s">
        <v>135</v>
      </c>
      <c r="G766" s="1" t="s">
        <v>125</v>
      </c>
      <c r="H766" s="1" t="s">
        <v>215</v>
      </c>
      <c r="I766">
        <v>422</v>
      </c>
      <c r="J766">
        <v>2899</v>
      </c>
      <c r="K766">
        <v>6949</v>
      </c>
      <c r="L766">
        <v>7527</v>
      </c>
      <c r="M766">
        <v>17797</v>
      </c>
      <c r="N766" s="2">
        <v>45678</v>
      </c>
      <c r="O766" s="2">
        <v>45844</v>
      </c>
      <c r="P766" s="1" t="s">
        <v>93</v>
      </c>
      <c r="Q766" s="1" t="s">
        <v>16</v>
      </c>
      <c r="R766" s="1" t="s">
        <v>22</v>
      </c>
      <c r="S766">
        <v>249</v>
      </c>
      <c r="T766" s="1" t="s">
        <v>1954</v>
      </c>
    </row>
    <row r="767" spans="1:20" x14ac:dyDescent="0.3">
      <c r="A767" s="1" t="s">
        <v>1955</v>
      </c>
      <c r="B767" s="1" t="s">
        <v>911</v>
      </c>
      <c r="C767">
        <v>15</v>
      </c>
      <c r="D767" s="1" t="s">
        <v>23</v>
      </c>
      <c r="E767" s="1" t="s">
        <v>24</v>
      </c>
      <c r="F767" s="1" t="s">
        <v>97</v>
      </c>
      <c r="G767" s="1" t="s">
        <v>91</v>
      </c>
      <c r="H767" s="1" t="s">
        <v>199</v>
      </c>
      <c r="I767">
        <v>995</v>
      </c>
      <c r="J767">
        <v>1662</v>
      </c>
      <c r="K767">
        <v>7779</v>
      </c>
      <c r="L767">
        <v>4982</v>
      </c>
      <c r="M767">
        <v>15418</v>
      </c>
      <c r="N767" s="2">
        <v>45905</v>
      </c>
      <c r="O767" s="2">
        <v>45765</v>
      </c>
      <c r="P767" s="1" t="s">
        <v>14</v>
      </c>
      <c r="Q767" s="1" t="s">
        <v>16</v>
      </c>
      <c r="R767" s="1" t="s">
        <v>17</v>
      </c>
      <c r="S767">
        <v>826</v>
      </c>
      <c r="T767" s="1" t="s">
        <v>1956</v>
      </c>
    </row>
    <row r="768" spans="1:20" x14ac:dyDescent="0.3">
      <c r="A768" s="1" t="s">
        <v>1957</v>
      </c>
      <c r="B768" s="1" t="s">
        <v>202</v>
      </c>
      <c r="C768">
        <v>44</v>
      </c>
      <c r="D768" s="1" t="s">
        <v>12</v>
      </c>
      <c r="E768" s="1" t="s">
        <v>15</v>
      </c>
      <c r="F768" s="1" t="s">
        <v>135</v>
      </c>
      <c r="G768" s="1" t="s">
        <v>98</v>
      </c>
      <c r="H768" s="1" t="s">
        <v>186</v>
      </c>
      <c r="I768">
        <v>1222</v>
      </c>
      <c r="J768">
        <v>2612</v>
      </c>
      <c r="K768">
        <v>4954</v>
      </c>
      <c r="L768">
        <v>5510</v>
      </c>
      <c r="M768">
        <v>14298</v>
      </c>
      <c r="N768" s="2">
        <v>45962</v>
      </c>
      <c r="O768" s="2">
        <v>45676</v>
      </c>
      <c r="P768" s="1" t="s">
        <v>25</v>
      </c>
      <c r="Q768" s="1" t="s">
        <v>21</v>
      </c>
      <c r="R768" s="1" t="s">
        <v>22</v>
      </c>
      <c r="S768">
        <v>326</v>
      </c>
      <c r="T768" s="1" t="s">
        <v>1958</v>
      </c>
    </row>
    <row r="769" spans="1:20" x14ac:dyDescent="0.3">
      <c r="A769" s="1" t="s">
        <v>1959</v>
      </c>
      <c r="B769" s="1" t="s">
        <v>102</v>
      </c>
      <c r="C769">
        <v>47</v>
      </c>
      <c r="D769" s="1" t="s">
        <v>12</v>
      </c>
      <c r="E769" s="1" t="s">
        <v>15</v>
      </c>
      <c r="F769" s="1" t="s">
        <v>124</v>
      </c>
      <c r="G769" s="1" t="s">
        <v>104</v>
      </c>
      <c r="H769" s="1" t="s">
        <v>145</v>
      </c>
      <c r="I769">
        <v>1462</v>
      </c>
      <c r="J769">
        <v>2996</v>
      </c>
      <c r="K769">
        <v>4193</v>
      </c>
      <c r="L769">
        <v>12683</v>
      </c>
      <c r="M769">
        <v>21334</v>
      </c>
      <c r="N769" s="2">
        <v>45883</v>
      </c>
      <c r="O769" s="2">
        <v>46002</v>
      </c>
      <c r="P769" s="1" t="s">
        <v>14</v>
      </c>
      <c r="Q769" s="1" t="s">
        <v>31</v>
      </c>
      <c r="R769" s="1" t="s">
        <v>22</v>
      </c>
      <c r="S769">
        <v>722</v>
      </c>
      <c r="T769" s="1" t="s">
        <v>1960</v>
      </c>
    </row>
    <row r="770" spans="1:20" x14ac:dyDescent="0.3">
      <c r="A770" s="1" t="s">
        <v>1961</v>
      </c>
      <c r="B770" s="1" t="s">
        <v>214</v>
      </c>
      <c r="C770">
        <v>82</v>
      </c>
      <c r="D770" s="1" t="s">
        <v>23</v>
      </c>
      <c r="E770" s="1" t="s">
        <v>38</v>
      </c>
      <c r="F770" s="1" t="s">
        <v>103</v>
      </c>
      <c r="G770" s="1" t="s">
        <v>125</v>
      </c>
      <c r="H770" s="1" t="s">
        <v>115</v>
      </c>
      <c r="I770">
        <v>1494</v>
      </c>
      <c r="J770">
        <v>2981</v>
      </c>
      <c r="K770">
        <v>1515</v>
      </c>
      <c r="L770">
        <v>10572</v>
      </c>
      <c r="M770">
        <v>16562</v>
      </c>
      <c r="N770" s="2">
        <v>45664</v>
      </c>
      <c r="O770" s="2">
        <v>45790</v>
      </c>
      <c r="P770" s="1" t="s">
        <v>177</v>
      </c>
      <c r="Q770" s="1" t="s">
        <v>31</v>
      </c>
      <c r="R770" s="1" t="s">
        <v>17</v>
      </c>
      <c r="S770">
        <v>759</v>
      </c>
      <c r="T770" s="1" t="s">
        <v>1962</v>
      </c>
    </row>
    <row r="771" spans="1:20" x14ac:dyDescent="0.3">
      <c r="A771" s="1" t="s">
        <v>1963</v>
      </c>
      <c r="B771" s="1" t="s">
        <v>236</v>
      </c>
      <c r="C771">
        <v>41</v>
      </c>
      <c r="D771" s="1" t="s">
        <v>12</v>
      </c>
      <c r="E771" s="1" t="s">
        <v>24</v>
      </c>
      <c r="F771" s="1" t="s">
        <v>120</v>
      </c>
      <c r="G771" s="1" t="s">
        <v>91</v>
      </c>
      <c r="H771" s="1" t="s">
        <v>215</v>
      </c>
      <c r="I771">
        <v>646</v>
      </c>
      <c r="J771">
        <v>4802</v>
      </c>
      <c r="K771">
        <v>4248</v>
      </c>
      <c r="L771">
        <v>3873</v>
      </c>
      <c r="M771">
        <v>13569</v>
      </c>
      <c r="N771" s="2">
        <v>45905</v>
      </c>
      <c r="O771" s="2">
        <v>45852</v>
      </c>
      <c r="P771" s="1" t="s">
        <v>34</v>
      </c>
      <c r="Q771" s="1" t="s">
        <v>31</v>
      </c>
      <c r="R771" s="1" t="s">
        <v>17</v>
      </c>
      <c r="S771">
        <v>311</v>
      </c>
      <c r="T771" s="1" t="s">
        <v>1964</v>
      </c>
    </row>
    <row r="772" spans="1:20" x14ac:dyDescent="0.3">
      <c r="A772" s="1" t="s">
        <v>1965</v>
      </c>
      <c r="B772" s="1" t="s">
        <v>164</v>
      </c>
      <c r="C772">
        <v>78</v>
      </c>
      <c r="D772" s="1" t="s">
        <v>23</v>
      </c>
      <c r="E772" s="1" t="s">
        <v>40</v>
      </c>
      <c r="F772" s="1" t="s">
        <v>84</v>
      </c>
      <c r="G772" s="1" t="s">
        <v>91</v>
      </c>
      <c r="H772" s="1" t="s">
        <v>99</v>
      </c>
      <c r="I772">
        <v>1321</v>
      </c>
      <c r="J772">
        <v>4262</v>
      </c>
      <c r="K772">
        <v>4964</v>
      </c>
      <c r="L772">
        <v>11463</v>
      </c>
      <c r="M772">
        <v>22010</v>
      </c>
      <c r="N772" s="2">
        <v>45664</v>
      </c>
      <c r="O772" s="2">
        <v>45926</v>
      </c>
      <c r="P772" s="1" t="s">
        <v>19</v>
      </c>
      <c r="Q772" s="1" t="s">
        <v>16</v>
      </c>
      <c r="R772" s="1" t="s">
        <v>17</v>
      </c>
      <c r="S772">
        <v>741</v>
      </c>
      <c r="T772" s="1" t="s">
        <v>1966</v>
      </c>
    </row>
    <row r="773" spans="1:20" x14ac:dyDescent="0.3">
      <c r="A773" s="1" t="s">
        <v>1967</v>
      </c>
      <c r="B773" s="1" t="s">
        <v>777</v>
      </c>
      <c r="C773">
        <v>9</v>
      </c>
      <c r="D773" s="1" t="s">
        <v>12</v>
      </c>
      <c r="E773" s="1" t="s">
        <v>40</v>
      </c>
      <c r="F773" s="1" t="s">
        <v>114</v>
      </c>
      <c r="G773" s="1" t="s">
        <v>104</v>
      </c>
      <c r="H773" s="1" t="s">
        <v>29</v>
      </c>
      <c r="I773">
        <v>1214</v>
      </c>
      <c r="J773">
        <v>4783</v>
      </c>
      <c r="K773">
        <v>2331</v>
      </c>
      <c r="L773">
        <v>5009</v>
      </c>
      <c r="M773">
        <v>13337</v>
      </c>
      <c r="N773" s="2">
        <v>45789</v>
      </c>
      <c r="O773" s="2">
        <v>45751</v>
      </c>
      <c r="P773" s="1" t="s">
        <v>19</v>
      </c>
      <c r="Q773" s="1" t="s">
        <v>9</v>
      </c>
      <c r="R773" s="1" t="s">
        <v>22</v>
      </c>
      <c r="S773">
        <v>141</v>
      </c>
      <c r="T773" s="1" t="s">
        <v>1968</v>
      </c>
    </row>
    <row r="774" spans="1:20" x14ac:dyDescent="0.3">
      <c r="A774" s="1" t="s">
        <v>1969</v>
      </c>
      <c r="B774" s="1" t="s">
        <v>1810</v>
      </c>
      <c r="C774">
        <v>36</v>
      </c>
      <c r="D774" s="1" t="s">
        <v>23</v>
      </c>
      <c r="E774" s="1" t="s">
        <v>27</v>
      </c>
      <c r="F774" s="1" t="s">
        <v>84</v>
      </c>
      <c r="G774" s="1" t="s">
        <v>125</v>
      </c>
      <c r="H774" s="1" t="s">
        <v>37</v>
      </c>
      <c r="I774">
        <v>571</v>
      </c>
      <c r="J774">
        <v>4780</v>
      </c>
      <c r="K774">
        <v>2780</v>
      </c>
      <c r="L774">
        <v>1997</v>
      </c>
      <c r="M774">
        <v>10128</v>
      </c>
      <c r="N774" s="2">
        <v>45764</v>
      </c>
      <c r="O774" s="2">
        <v>45774</v>
      </c>
      <c r="P774" s="1" t="s">
        <v>19</v>
      </c>
      <c r="Q774" s="1" t="s">
        <v>16</v>
      </c>
      <c r="R774" s="1" t="s">
        <v>87</v>
      </c>
      <c r="S774">
        <v>900</v>
      </c>
      <c r="T774" s="1" t="s">
        <v>1970</v>
      </c>
    </row>
    <row r="775" spans="1:20" x14ac:dyDescent="0.3">
      <c r="A775" s="1" t="s">
        <v>1971</v>
      </c>
      <c r="B775" s="1" t="s">
        <v>41</v>
      </c>
      <c r="C775">
        <v>26</v>
      </c>
      <c r="D775" s="1" t="s">
        <v>12</v>
      </c>
      <c r="E775" s="1" t="s">
        <v>27</v>
      </c>
      <c r="F775" s="1" t="s">
        <v>114</v>
      </c>
      <c r="G775" s="1" t="s">
        <v>91</v>
      </c>
      <c r="H775" s="1" t="s">
        <v>92</v>
      </c>
      <c r="I775">
        <v>470</v>
      </c>
      <c r="J775">
        <v>4399</v>
      </c>
      <c r="K775">
        <v>1917</v>
      </c>
      <c r="L775">
        <v>2636</v>
      </c>
      <c r="M775">
        <v>9422</v>
      </c>
      <c r="N775" s="2">
        <v>45935</v>
      </c>
      <c r="O775" s="2">
        <v>45959</v>
      </c>
      <c r="P775" s="1" t="s">
        <v>19</v>
      </c>
      <c r="Q775" s="1" t="s">
        <v>16</v>
      </c>
      <c r="R775" s="1" t="s">
        <v>87</v>
      </c>
      <c r="S775">
        <v>540</v>
      </c>
      <c r="T775" s="1" t="s">
        <v>1972</v>
      </c>
    </row>
    <row r="776" spans="1:20" x14ac:dyDescent="0.3">
      <c r="A776" s="1" t="s">
        <v>1973</v>
      </c>
      <c r="B776" s="1" t="s">
        <v>874</v>
      </c>
      <c r="C776">
        <v>83</v>
      </c>
      <c r="D776" s="1" t="s">
        <v>23</v>
      </c>
      <c r="E776" s="1" t="s">
        <v>20</v>
      </c>
      <c r="F776" s="1" t="s">
        <v>135</v>
      </c>
      <c r="G776" s="1" t="s">
        <v>98</v>
      </c>
      <c r="H776" s="1" t="s">
        <v>18</v>
      </c>
      <c r="I776">
        <v>815</v>
      </c>
      <c r="J776">
        <v>3835</v>
      </c>
      <c r="K776">
        <v>5226</v>
      </c>
      <c r="L776">
        <v>5435</v>
      </c>
      <c r="M776">
        <v>15311</v>
      </c>
      <c r="N776" s="2">
        <v>45910</v>
      </c>
      <c r="O776" s="2">
        <v>45981</v>
      </c>
      <c r="P776" s="1" t="s">
        <v>25</v>
      </c>
      <c r="Q776" s="1" t="s">
        <v>9</v>
      </c>
      <c r="R776" s="1" t="s">
        <v>87</v>
      </c>
      <c r="S776">
        <v>390</v>
      </c>
      <c r="T776" s="1" t="s">
        <v>1974</v>
      </c>
    </row>
    <row r="777" spans="1:20" x14ac:dyDescent="0.3">
      <c r="A777" s="1" t="s">
        <v>1975</v>
      </c>
      <c r="B777" s="1" t="s">
        <v>1406</v>
      </c>
      <c r="C777">
        <v>69</v>
      </c>
      <c r="D777" s="1" t="s">
        <v>23</v>
      </c>
      <c r="E777" s="1" t="s">
        <v>27</v>
      </c>
      <c r="F777" s="1" t="s">
        <v>97</v>
      </c>
      <c r="G777" s="1" t="s">
        <v>158</v>
      </c>
      <c r="H777" s="1" t="s">
        <v>165</v>
      </c>
      <c r="I777">
        <v>1449</v>
      </c>
      <c r="J777">
        <v>4621</v>
      </c>
      <c r="K777">
        <v>2829</v>
      </c>
      <c r="L777">
        <v>11255</v>
      </c>
      <c r="M777">
        <v>20154</v>
      </c>
      <c r="N777" s="2">
        <v>45883</v>
      </c>
      <c r="O777" s="2">
        <v>45715</v>
      </c>
      <c r="P777" s="1" t="s">
        <v>25</v>
      </c>
      <c r="Q777" s="1" t="s">
        <v>21</v>
      </c>
      <c r="R777" s="1" t="s">
        <v>87</v>
      </c>
      <c r="S777">
        <v>581</v>
      </c>
      <c r="T777" s="1" t="s">
        <v>1976</v>
      </c>
    </row>
    <row r="778" spans="1:20" x14ac:dyDescent="0.3">
      <c r="A778" s="1" t="s">
        <v>1977</v>
      </c>
      <c r="B778" s="1" t="s">
        <v>993</v>
      </c>
      <c r="C778">
        <v>9</v>
      </c>
      <c r="D778" s="1" t="s">
        <v>12</v>
      </c>
      <c r="E778" s="1" t="s">
        <v>24</v>
      </c>
      <c r="F778" s="1" t="s">
        <v>124</v>
      </c>
      <c r="G778" s="1" t="s">
        <v>176</v>
      </c>
      <c r="H778" s="1" t="s">
        <v>13</v>
      </c>
      <c r="I778">
        <v>1207</v>
      </c>
      <c r="J778">
        <v>3305</v>
      </c>
      <c r="K778">
        <v>5525</v>
      </c>
      <c r="L778">
        <v>12255</v>
      </c>
      <c r="M778">
        <v>22292</v>
      </c>
      <c r="N778" s="2">
        <v>45933</v>
      </c>
      <c r="O778" s="2">
        <v>45751</v>
      </c>
      <c r="P778" s="1" t="s">
        <v>19</v>
      </c>
      <c r="Q778" s="1" t="s">
        <v>31</v>
      </c>
      <c r="R778" s="1" t="s">
        <v>22</v>
      </c>
      <c r="S778">
        <v>414</v>
      </c>
      <c r="T778" s="1" t="s">
        <v>1978</v>
      </c>
    </row>
    <row r="779" spans="1:20" x14ac:dyDescent="0.3">
      <c r="A779" s="1" t="s">
        <v>1979</v>
      </c>
      <c r="B779" s="1" t="s">
        <v>650</v>
      </c>
      <c r="C779">
        <v>68</v>
      </c>
      <c r="D779" s="1" t="s">
        <v>12</v>
      </c>
      <c r="E779" s="1" t="s">
        <v>15</v>
      </c>
      <c r="F779" s="1" t="s">
        <v>114</v>
      </c>
      <c r="G779" s="1" t="s">
        <v>98</v>
      </c>
      <c r="H779" s="1" t="s">
        <v>26</v>
      </c>
      <c r="I779">
        <v>730</v>
      </c>
      <c r="J779">
        <v>1766</v>
      </c>
      <c r="K779">
        <v>2952</v>
      </c>
      <c r="L779">
        <v>3562</v>
      </c>
      <c r="M779">
        <v>9010</v>
      </c>
      <c r="N779" s="2">
        <v>45756</v>
      </c>
      <c r="O779" s="2">
        <v>45860</v>
      </c>
      <c r="P779" s="1" t="s">
        <v>25</v>
      </c>
      <c r="Q779" s="1" t="s">
        <v>31</v>
      </c>
      <c r="R779" s="1" t="s">
        <v>17</v>
      </c>
      <c r="S779">
        <v>628</v>
      </c>
      <c r="T779" s="1" t="s">
        <v>1980</v>
      </c>
    </row>
    <row r="780" spans="1:20" x14ac:dyDescent="0.3">
      <c r="A780" s="1" t="s">
        <v>1981</v>
      </c>
      <c r="B780" s="1" t="s">
        <v>1046</v>
      </c>
      <c r="C780">
        <v>35</v>
      </c>
      <c r="D780" s="1" t="s">
        <v>23</v>
      </c>
      <c r="E780" s="1" t="s">
        <v>27</v>
      </c>
      <c r="F780" s="1" t="s">
        <v>124</v>
      </c>
      <c r="G780" s="1" t="s">
        <v>91</v>
      </c>
      <c r="H780" s="1" t="s">
        <v>215</v>
      </c>
      <c r="I780">
        <v>921</v>
      </c>
      <c r="J780">
        <v>3537</v>
      </c>
      <c r="K780">
        <v>1487</v>
      </c>
      <c r="L780">
        <v>6017</v>
      </c>
      <c r="M780">
        <v>11962</v>
      </c>
      <c r="N780" s="2">
        <v>45828</v>
      </c>
      <c r="O780" s="2">
        <v>45839</v>
      </c>
      <c r="P780" s="1" t="s">
        <v>177</v>
      </c>
      <c r="Q780" s="1" t="s">
        <v>9</v>
      </c>
      <c r="R780" s="1" t="s">
        <v>87</v>
      </c>
      <c r="S780">
        <v>502</v>
      </c>
      <c r="T780" s="1" t="s">
        <v>1982</v>
      </c>
    </row>
    <row r="781" spans="1:20" x14ac:dyDescent="0.3">
      <c r="A781" s="1" t="s">
        <v>1983</v>
      </c>
      <c r="B781" s="1" t="s">
        <v>32</v>
      </c>
      <c r="C781">
        <v>52</v>
      </c>
      <c r="D781" s="1" t="s">
        <v>23</v>
      </c>
      <c r="E781" s="1" t="s">
        <v>40</v>
      </c>
      <c r="F781" s="1" t="s">
        <v>120</v>
      </c>
      <c r="G781" s="1" t="s">
        <v>104</v>
      </c>
      <c r="H781" s="1" t="s">
        <v>99</v>
      </c>
      <c r="I781">
        <v>586</v>
      </c>
      <c r="J781">
        <v>4242</v>
      </c>
      <c r="K781">
        <v>6583</v>
      </c>
      <c r="L781">
        <v>5492</v>
      </c>
      <c r="M781">
        <v>16903</v>
      </c>
      <c r="N781" s="2">
        <v>45667</v>
      </c>
      <c r="O781" s="2">
        <v>46018</v>
      </c>
      <c r="P781" s="1" t="s">
        <v>19</v>
      </c>
      <c r="Q781" s="1" t="s">
        <v>21</v>
      </c>
      <c r="R781" s="1" t="s">
        <v>17</v>
      </c>
      <c r="S781">
        <v>952</v>
      </c>
      <c r="T781" s="1" t="s">
        <v>1984</v>
      </c>
    </row>
    <row r="782" spans="1:20" x14ac:dyDescent="0.3">
      <c r="A782" s="1" t="s">
        <v>1985</v>
      </c>
      <c r="B782" s="1" t="s">
        <v>1986</v>
      </c>
      <c r="C782">
        <v>55</v>
      </c>
      <c r="D782" s="1" t="s">
        <v>12</v>
      </c>
      <c r="E782" s="1" t="s">
        <v>15</v>
      </c>
      <c r="F782" s="1" t="s">
        <v>97</v>
      </c>
      <c r="G782" s="1" t="s">
        <v>91</v>
      </c>
      <c r="H782" s="1" t="s">
        <v>115</v>
      </c>
      <c r="I782">
        <v>740</v>
      </c>
      <c r="J782">
        <v>4620</v>
      </c>
      <c r="K782">
        <v>3905</v>
      </c>
      <c r="L782">
        <v>5488</v>
      </c>
      <c r="M782">
        <v>14753</v>
      </c>
      <c r="N782" s="2">
        <v>45712</v>
      </c>
      <c r="O782" s="2">
        <v>45696</v>
      </c>
      <c r="P782" s="1" t="s">
        <v>19</v>
      </c>
      <c r="Q782" s="1" t="s">
        <v>9</v>
      </c>
      <c r="R782" s="1" t="s">
        <v>87</v>
      </c>
      <c r="S782">
        <v>707</v>
      </c>
      <c r="T782" s="1" t="s">
        <v>1987</v>
      </c>
    </row>
    <row r="783" spans="1:20" x14ac:dyDescent="0.3">
      <c r="A783" s="1" t="s">
        <v>1988</v>
      </c>
      <c r="B783" s="1" t="s">
        <v>370</v>
      </c>
      <c r="C783">
        <v>63</v>
      </c>
      <c r="D783" s="1" t="s">
        <v>23</v>
      </c>
      <c r="E783" s="1" t="s">
        <v>20</v>
      </c>
      <c r="F783" s="1" t="s">
        <v>124</v>
      </c>
      <c r="G783" s="1" t="s">
        <v>125</v>
      </c>
      <c r="H783" s="1" t="s">
        <v>155</v>
      </c>
      <c r="I783">
        <v>421</v>
      </c>
      <c r="J783">
        <v>1330</v>
      </c>
      <c r="K783">
        <v>759</v>
      </c>
      <c r="L783">
        <v>11479</v>
      </c>
      <c r="M783">
        <v>13989</v>
      </c>
      <c r="N783" s="2">
        <v>45833</v>
      </c>
      <c r="O783" s="2">
        <v>45799</v>
      </c>
      <c r="P783" s="1" t="s">
        <v>110</v>
      </c>
      <c r="Q783" s="1" t="s">
        <v>21</v>
      </c>
      <c r="R783" s="1" t="s">
        <v>22</v>
      </c>
      <c r="S783">
        <v>583</v>
      </c>
      <c r="T783" s="1" t="s">
        <v>1989</v>
      </c>
    </row>
    <row r="784" spans="1:20" x14ac:dyDescent="0.3">
      <c r="A784" s="1" t="s">
        <v>1990</v>
      </c>
      <c r="B784" s="1" t="s">
        <v>259</v>
      </c>
      <c r="C784">
        <v>53</v>
      </c>
      <c r="D784" s="1" t="s">
        <v>23</v>
      </c>
      <c r="E784" s="1" t="s">
        <v>36</v>
      </c>
      <c r="F784" s="1" t="s">
        <v>109</v>
      </c>
      <c r="G784" s="1" t="s">
        <v>98</v>
      </c>
      <c r="H784" s="1" t="s">
        <v>26</v>
      </c>
      <c r="I784">
        <v>1475</v>
      </c>
      <c r="J784">
        <v>2138</v>
      </c>
      <c r="K784">
        <v>4902</v>
      </c>
      <c r="L784">
        <v>2441</v>
      </c>
      <c r="M784">
        <v>10956</v>
      </c>
      <c r="N784" s="2">
        <v>45882</v>
      </c>
      <c r="O784" s="2">
        <v>45783</v>
      </c>
      <c r="P784" s="1" t="s">
        <v>177</v>
      </c>
      <c r="Q784" s="1" t="s">
        <v>21</v>
      </c>
      <c r="R784" s="1" t="s">
        <v>87</v>
      </c>
      <c r="S784">
        <v>122</v>
      </c>
      <c r="T784" s="1" t="s">
        <v>1991</v>
      </c>
    </row>
    <row r="785" spans="1:20" x14ac:dyDescent="0.3">
      <c r="A785" s="1" t="s">
        <v>1992</v>
      </c>
      <c r="B785" s="1" t="s">
        <v>259</v>
      </c>
      <c r="C785">
        <v>47</v>
      </c>
      <c r="D785" s="1" t="s">
        <v>12</v>
      </c>
      <c r="E785" s="1" t="s">
        <v>36</v>
      </c>
      <c r="F785" s="1" t="s">
        <v>84</v>
      </c>
      <c r="G785" s="1" t="s">
        <v>91</v>
      </c>
      <c r="H785" s="1" t="s">
        <v>145</v>
      </c>
      <c r="I785">
        <v>957</v>
      </c>
      <c r="J785">
        <v>4336</v>
      </c>
      <c r="K785">
        <v>2165</v>
      </c>
      <c r="L785">
        <v>8549</v>
      </c>
      <c r="M785">
        <v>16007</v>
      </c>
      <c r="N785" s="2">
        <v>45843</v>
      </c>
      <c r="O785" s="2">
        <v>45828</v>
      </c>
      <c r="P785" s="1" t="s">
        <v>19</v>
      </c>
      <c r="Q785" s="1" t="s">
        <v>16</v>
      </c>
      <c r="R785" s="1" t="s">
        <v>22</v>
      </c>
      <c r="S785">
        <v>222</v>
      </c>
      <c r="T785" s="1" t="s">
        <v>1993</v>
      </c>
    </row>
    <row r="786" spans="1:20" x14ac:dyDescent="0.3">
      <c r="A786" s="1" t="s">
        <v>1994</v>
      </c>
      <c r="B786" s="1" t="s">
        <v>205</v>
      </c>
      <c r="C786">
        <v>51</v>
      </c>
      <c r="D786" s="1" t="s">
        <v>12</v>
      </c>
      <c r="E786" s="1" t="s">
        <v>20</v>
      </c>
      <c r="F786" s="1" t="s">
        <v>103</v>
      </c>
      <c r="G786" s="1" t="s">
        <v>176</v>
      </c>
      <c r="H786" s="1" t="s">
        <v>29</v>
      </c>
      <c r="I786">
        <v>1349</v>
      </c>
      <c r="J786">
        <v>3559</v>
      </c>
      <c r="K786">
        <v>432</v>
      </c>
      <c r="L786">
        <v>10268</v>
      </c>
      <c r="M786">
        <v>15608</v>
      </c>
      <c r="N786" s="2">
        <v>45881</v>
      </c>
      <c r="O786" s="2">
        <v>45674</v>
      </c>
      <c r="P786" s="1" t="s">
        <v>110</v>
      </c>
      <c r="Q786" s="1" t="s">
        <v>9</v>
      </c>
      <c r="R786" s="1" t="s">
        <v>17</v>
      </c>
      <c r="S786">
        <v>688</v>
      </c>
      <c r="T786" s="1" t="s">
        <v>1995</v>
      </c>
    </row>
    <row r="787" spans="1:20" x14ac:dyDescent="0.3">
      <c r="A787" s="1" t="s">
        <v>1996</v>
      </c>
      <c r="B787" s="1" t="s">
        <v>787</v>
      </c>
      <c r="C787">
        <v>73</v>
      </c>
      <c r="D787" s="1" t="s">
        <v>23</v>
      </c>
      <c r="E787" s="1" t="s">
        <v>24</v>
      </c>
      <c r="F787" s="1" t="s">
        <v>114</v>
      </c>
      <c r="G787" s="1" t="s">
        <v>176</v>
      </c>
      <c r="H787" s="1" t="s">
        <v>145</v>
      </c>
      <c r="I787">
        <v>1351</v>
      </c>
      <c r="J787">
        <v>1218</v>
      </c>
      <c r="K787">
        <v>5001</v>
      </c>
      <c r="L787">
        <v>8675</v>
      </c>
      <c r="M787">
        <v>16245</v>
      </c>
      <c r="N787" s="2">
        <v>45970</v>
      </c>
      <c r="O787" s="2">
        <v>45990</v>
      </c>
      <c r="P787" s="1" t="s">
        <v>19</v>
      </c>
      <c r="Q787" s="1" t="s">
        <v>9</v>
      </c>
      <c r="R787" s="1" t="s">
        <v>17</v>
      </c>
      <c r="S787">
        <v>576</v>
      </c>
      <c r="T787" s="1" t="s">
        <v>1997</v>
      </c>
    </row>
    <row r="788" spans="1:20" x14ac:dyDescent="0.3">
      <c r="A788" s="1" t="s">
        <v>1998</v>
      </c>
      <c r="B788" s="1" t="s">
        <v>647</v>
      </c>
      <c r="C788">
        <v>10</v>
      </c>
      <c r="D788" s="1" t="s">
        <v>23</v>
      </c>
      <c r="E788" s="1" t="s">
        <v>33</v>
      </c>
      <c r="F788" s="1" t="s">
        <v>97</v>
      </c>
      <c r="G788" s="1" t="s">
        <v>98</v>
      </c>
      <c r="H788" s="1" t="s">
        <v>92</v>
      </c>
      <c r="I788">
        <v>1380</v>
      </c>
      <c r="J788">
        <v>4042</v>
      </c>
      <c r="K788">
        <v>7585</v>
      </c>
      <c r="L788">
        <v>1351</v>
      </c>
      <c r="M788">
        <v>14358</v>
      </c>
      <c r="N788" s="2">
        <v>45863</v>
      </c>
      <c r="O788" s="2">
        <v>45952</v>
      </c>
      <c r="P788" s="1" t="s">
        <v>14</v>
      </c>
      <c r="Q788" s="1" t="s">
        <v>9</v>
      </c>
      <c r="R788" s="1" t="s">
        <v>22</v>
      </c>
      <c r="S788">
        <v>108</v>
      </c>
      <c r="T788" s="1" t="s">
        <v>1999</v>
      </c>
    </row>
    <row r="789" spans="1:20" x14ac:dyDescent="0.3">
      <c r="A789" s="1" t="s">
        <v>2000</v>
      </c>
      <c r="B789" s="1" t="s">
        <v>2001</v>
      </c>
      <c r="C789">
        <v>20</v>
      </c>
      <c r="D789" s="1" t="s">
        <v>12</v>
      </c>
      <c r="E789" s="1" t="s">
        <v>15</v>
      </c>
      <c r="F789" s="1" t="s">
        <v>84</v>
      </c>
      <c r="G789" s="1" t="s">
        <v>85</v>
      </c>
      <c r="H789" s="1" t="s">
        <v>186</v>
      </c>
      <c r="I789">
        <v>1390</v>
      </c>
      <c r="J789">
        <v>4249</v>
      </c>
      <c r="K789">
        <v>5654</v>
      </c>
      <c r="L789">
        <v>11901</v>
      </c>
      <c r="M789">
        <v>23194</v>
      </c>
      <c r="N789" s="2">
        <v>45760</v>
      </c>
      <c r="O789" s="2">
        <v>45952</v>
      </c>
      <c r="P789" s="1" t="s">
        <v>177</v>
      </c>
      <c r="Q789" s="1" t="s">
        <v>31</v>
      </c>
      <c r="R789" s="1" t="s">
        <v>22</v>
      </c>
      <c r="S789">
        <v>415</v>
      </c>
      <c r="T789" s="1" t="s">
        <v>2002</v>
      </c>
    </row>
    <row r="790" spans="1:20" x14ac:dyDescent="0.3">
      <c r="A790" s="1" t="s">
        <v>2003</v>
      </c>
      <c r="B790" s="1" t="s">
        <v>83</v>
      </c>
      <c r="C790">
        <v>69</v>
      </c>
      <c r="D790" s="1" t="s">
        <v>23</v>
      </c>
      <c r="E790" s="1" t="s">
        <v>40</v>
      </c>
      <c r="F790" s="1" t="s">
        <v>109</v>
      </c>
      <c r="G790" s="1" t="s">
        <v>91</v>
      </c>
      <c r="H790" s="1" t="s">
        <v>99</v>
      </c>
      <c r="I790">
        <v>441</v>
      </c>
      <c r="J790">
        <v>3182</v>
      </c>
      <c r="K790">
        <v>7431</v>
      </c>
      <c r="L790">
        <v>6166</v>
      </c>
      <c r="M790">
        <v>17220</v>
      </c>
      <c r="N790" s="2">
        <v>45775</v>
      </c>
      <c r="O790" s="2">
        <v>45994</v>
      </c>
      <c r="P790" s="1" t="s">
        <v>19</v>
      </c>
      <c r="Q790" s="1" t="s">
        <v>31</v>
      </c>
      <c r="R790" s="1" t="s">
        <v>17</v>
      </c>
      <c r="S790">
        <v>377</v>
      </c>
      <c r="T790" s="1" t="s">
        <v>2004</v>
      </c>
    </row>
    <row r="791" spans="1:20" x14ac:dyDescent="0.3">
      <c r="A791" s="1" t="s">
        <v>2005</v>
      </c>
      <c r="B791" s="1" t="s">
        <v>1112</v>
      </c>
      <c r="C791">
        <v>4</v>
      </c>
      <c r="D791" s="1" t="s">
        <v>23</v>
      </c>
      <c r="E791" s="1" t="s">
        <v>27</v>
      </c>
      <c r="F791" s="1" t="s">
        <v>135</v>
      </c>
      <c r="G791" s="1" t="s">
        <v>125</v>
      </c>
      <c r="H791" s="1" t="s">
        <v>13</v>
      </c>
      <c r="I791">
        <v>1068</v>
      </c>
      <c r="J791">
        <v>708</v>
      </c>
      <c r="K791">
        <v>3936</v>
      </c>
      <c r="L791">
        <v>13188</v>
      </c>
      <c r="M791">
        <v>18900</v>
      </c>
      <c r="N791" s="2">
        <v>45764</v>
      </c>
      <c r="O791" s="2">
        <v>45852</v>
      </c>
      <c r="P791" s="1" t="s">
        <v>34</v>
      </c>
      <c r="Q791" s="1" t="s">
        <v>9</v>
      </c>
      <c r="R791" s="1" t="s">
        <v>22</v>
      </c>
      <c r="S791">
        <v>310</v>
      </c>
      <c r="T791" s="1" t="s">
        <v>2006</v>
      </c>
    </row>
    <row r="792" spans="1:20" x14ac:dyDescent="0.3">
      <c r="A792" s="1" t="s">
        <v>2007</v>
      </c>
      <c r="B792" s="1" t="s">
        <v>286</v>
      </c>
      <c r="C792">
        <v>16</v>
      </c>
      <c r="D792" s="1" t="s">
        <v>23</v>
      </c>
      <c r="E792" s="1" t="s">
        <v>38</v>
      </c>
      <c r="F792" s="1" t="s">
        <v>109</v>
      </c>
      <c r="G792" s="1" t="s">
        <v>85</v>
      </c>
      <c r="H792" s="1" t="s">
        <v>13</v>
      </c>
      <c r="I792">
        <v>633</v>
      </c>
      <c r="J792">
        <v>2217</v>
      </c>
      <c r="K792">
        <v>1285</v>
      </c>
      <c r="L792">
        <v>9013</v>
      </c>
      <c r="M792">
        <v>13148</v>
      </c>
      <c r="N792" s="2">
        <v>45967</v>
      </c>
      <c r="O792" s="2">
        <v>45841</v>
      </c>
      <c r="P792" s="1" t="s">
        <v>177</v>
      </c>
      <c r="Q792" s="1" t="s">
        <v>31</v>
      </c>
      <c r="R792" s="1" t="s">
        <v>22</v>
      </c>
      <c r="S792">
        <v>918</v>
      </c>
      <c r="T792" s="1" t="s">
        <v>2008</v>
      </c>
    </row>
    <row r="793" spans="1:20" x14ac:dyDescent="0.3">
      <c r="A793" s="1" t="s">
        <v>2009</v>
      </c>
      <c r="B793" s="1" t="s">
        <v>1085</v>
      </c>
      <c r="C793">
        <v>33</v>
      </c>
      <c r="D793" s="1" t="s">
        <v>23</v>
      </c>
      <c r="E793" s="1" t="s">
        <v>20</v>
      </c>
      <c r="F793" s="1" t="s">
        <v>135</v>
      </c>
      <c r="G793" s="1" t="s">
        <v>91</v>
      </c>
      <c r="H793" s="1" t="s">
        <v>18</v>
      </c>
      <c r="I793">
        <v>314</v>
      </c>
      <c r="J793">
        <v>3613</v>
      </c>
      <c r="K793">
        <v>6881</v>
      </c>
      <c r="L793">
        <v>7881</v>
      </c>
      <c r="M793">
        <v>18689</v>
      </c>
      <c r="N793" s="2">
        <v>45862</v>
      </c>
      <c r="O793" s="2">
        <v>45709</v>
      </c>
      <c r="P793" s="1" t="s">
        <v>177</v>
      </c>
      <c r="Q793" s="1" t="s">
        <v>16</v>
      </c>
      <c r="R793" s="1" t="s">
        <v>17</v>
      </c>
      <c r="S793">
        <v>968</v>
      </c>
      <c r="T793" s="1" t="s">
        <v>2010</v>
      </c>
    </row>
    <row r="794" spans="1:20" x14ac:dyDescent="0.3">
      <c r="A794" s="1" t="s">
        <v>2011</v>
      </c>
      <c r="B794" s="1" t="s">
        <v>131</v>
      </c>
      <c r="C794">
        <v>11</v>
      </c>
      <c r="D794" s="1" t="s">
        <v>12</v>
      </c>
      <c r="E794" s="1" t="s">
        <v>33</v>
      </c>
      <c r="F794" s="1" t="s">
        <v>135</v>
      </c>
      <c r="G794" s="1" t="s">
        <v>85</v>
      </c>
      <c r="H794" s="1" t="s">
        <v>18</v>
      </c>
      <c r="I794">
        <v>862</v>
      </c>
      <c r="J794">
        <v>3148</v>
      </c>
      <c r="K794">
        <v>671</v>
      </c>
      <c r="L794">
        <v>3305</v>
      </c>
      <c r="M794">
        <v>7986</v>
      </c>
      <c r="N794" s="2">
        <v>45785</v>
      </c>
      <c r="O794" s="2">
        <v>45748</v>
      </c>
      <c r="P794" s="1" t="s">
        <v>136</v>
      </c>
      <c r="Q794" s="1" t="s">
        <v>31</v>
      </c>
      <c r="R794" s="1" t="s">
        <v>22</v>
      </c>
      <c r="S794">
        <v>811</v>
      </c>
      <c r="T794" s="1" t="s">
        <v>2012</v>
      </c>
    </row>
    <row r="795" spans="1:20" x14ac:dyDescent="0.3">
      <c r="A795" s="1" t="s">
        <v>2013</v>
      </c>
      <c r="B795" s="1" t="s">
        <v>349</v>
      </c>
      <c r="C795">
        <v>77</v>
      </c>
      <c r="D795" s="1" t="s">
        <v>23</v>
      </c>
      <c r="E795" s="1" t="s">
        <v>15</v>
      </c>
      <c r="F795" s="1" t="s">
        <v>124</v>
      </c>
      <c r="G795" s="1" t="s">
        <v>91</v>
      </c>
      <c r="H795" s="1" t="s">
        <v>99</v>
      </c>
      <c r="I795">
        <v>1149</v>
      </c>
      <c r="J795">
        <v>1790</v>
      </c>
      <c r="K795">
        <v>3734</v>
      </c>
      <c r="L795">
        <v>3824</v>
      </c>
      <c r="M795">
        <v>10497</v>
      </c>
      <c r="N795" s="2">
        <v>45747</v>
      </c>
      <c r="O795" s="2">
        <v>45923</v>
      </c>
      <c r="P795" s="1" t="s">
        <v>25</v>
      </c>
      <c r="Q795" s="1" t="s">
        <v>16</v>
      </c>
      <c r="R795" s="1" t="s">
        <v>22</v>
      </c>
      <c r="S795">
        <v>130</v>
      </c>
      <c r="T795" s="1" t="s">
        <v>2014</v>
      </c>
    </row>
    <row r="796" spans="1:20" x14ac:dyDescent="0.3">
      <c r="A796" s="1" t="s">
        <v>2015</v>
      </c>
      <c r="B796" s="1" t="s">
        <v>134</v>
      </c>
      <c r="C796">
        <v>52</v>
      </c>
      <c r="D796" s="1" t="s">
        <v>12</v>
      </c>
      <c r="E796" s="1" t="s">
        <v>38</v>
      </c>
      <c r="F796" s="1" t="s">
        <v>124</v>
      </c>
      <c r="G796" s="1" t="s">
        <v>158</v>
      </c>
      <c r="H796" s="1" t="s">
        <v>186</v>
      </c>
      <c r="I796">
        <v>358</v>
      </c>
      <c r="J796">
        <v>711</v>
      </c>
      <c r="K796">
        <v>3016</v>
      </c>
      <c r="L796">
        <v>1466</v>
      </c>
      <c r="M796">
        <v>5551</v>
      </c>
      <c r="N796" s="2">
        <v>45898</v>
      </c>
      <c r="O796" s="2">
        <v>45675</v>
      </c>
      <c r="P796" s="1" t="s">
        <v>25</v>
      </c>
      <c r="Q796" s="1" t="s">
        <v>9</v>
      </c>
      <c r="R796" s="1" t="s">
        <v>87</v>
      </c>
      <c r="S796">
        <v>839</v>
      </c>
      <c r="T796" s="1" t="s">
        <v>2016</v>
      </c>
    </row>
    <row r="797" spans="1:20" x14ac:dyDescent="0.3">
      <c r="A797" s="1" t="s">
        <v>2017</v>
      </c>
      <c r="B797" s="1" t="s">
        <v>993</v>
      </c>
      <c r="C797">
        <v>13</v>
      </c>
      <c r="D797" s="1" t="s">
        <v>23</v>
      </c>
      <c r="E797" s="1" t="s">
        <v>27</v>
      </c>
      <c r="F797" s="1" t="s">
        <v>97</v>
      </c>
      <c r="G797" s="1" t="s">
        <v>85</v>
      </c>
      <c r="H797" s="1" t="s">
        <v>105</v>
      </c>
      <c r="I797">
        <v>488</v>
      </c>
      <c r="J797">
        <v>3939</v>
      </c>
      <c r="K797">
        <v>843</v>
      </c>
      <c r="L797">
        <v>2841</v>
      </c>
      <c r="M797">
        <v>8111</v>
      </c>
      <c r="N797" s="2">
        <v>45901</v>
      </c>
      <c r="O797" s="2">
        <v>45895</v>
      </c>
      <c r="P797" s="1" t="s">
        <v>93</v>
      </c>
      <c r="Q797" s="1" t="s">
        <v>16</v>
      </c>
      <c r="R797" s="1" t="s">
        <v>17</v>
      </c>
      <c r="S797">
        <v>587</v>
      </c>
      <c r="T797" s="1" t="s">
        <v>2018</v>
      </c>
    </row>
    <row r="798" spans="1:20" x14ac:dyDescent="0.3">
      <c r="A798" s="1" t="s">
        <v>2019</v>
      </c>
      <c r="B798" s="1" t="s">
        <v>774</v>
      </c>
      <c r="C798">
        <v>42</v>
      </c>
      <c r="D798" s="1" t="s">
        <v>12</v>
      </c>
      <c r="E798" s="1" t="s">
        <v>40</v>
      </c>
      <c r="F798" s="1" t="s">
        <v>114</v>
      </c>
      <c r="G798" s="1" t="s">
        <v>104</v>
      </c>
      <c r="H798" s="1" t="s">
        <v>215</v>
      </c>
      <c r="I798">
        <v>1309</v>
      </c>
      <c r="J798">
        <v>2107</v>
      </c>
      <c r="K798">
        <v>1330</v>
      </c>
      <c r="L798">
        <v>4593</v>
      </c>
      <c r="M798">
        <v>9339</v>
      </c>
      <c r="N798" s="2">
        <v>45921</v>
      </c>
      <c r="O798" s="2">
        <v>45724</v>
      </c>
      <c r="P798" s="1" t="s">
        <v>25</v>
      </c>
      <c r="Q798" s="1" t="s">
        <v>16</v>
      </c>
      <c r="R798" s="1" t="s">
        <v>87</v>
      </c>
      <c r="S798">
        <v>197</v>
      </c>
      <c r="T798" s="1" t="s">
        <v>2020</v>
      </c>
    </row>
    <row r="799" spans="1:20" x14ac:dyDescent="0.3">
      <c r="A799" s="1" t="s">
        <v>2021</v>
      </c>
      <c r="B799" s="1" t="s">
        <v>1282</v>
      </c>
      <c r="C799">
        <v>79</v>
      </c>
      <c r="D799" s="1" t="s">
        <v>23</v>
      </c>
      <c r="E799" s="1" t="s">
        <v>36</v>
      </c>
      <c r="F799" s="1" t="s">
        <v>84</v>
      </c>
      <c r="G799" s="1" t="s">
        <v>176</v>
      </c>
      <c r="H799" s="1" t="s">
        <v>105</v>
      </c>
      <c r="I799">
        <v>813</v>
      </c>
      <c r="J799">
        <v>2012</v>
      </c>
      <c r="K799">
        <v>6280</v>
      </c>
      <c r="L799">
        <v>11803</v>
      </c>
      <c r="M799">
        <v>20908</v>
      </c>
      <c r="N799" s="2">
        <v>45812</v>
      </c>
      <c r="O799" s="2">
        <v>45826</v>
      </c>
      <c r="P799" s="1" t="s">
        <v>116</v>
      </c>
      <c r="Q799" s="1" t="s">
        <v>31</v>
      </c>
      <c r="R799" s="1" t="s">
        <v>17</v>
      </c>
      <c r="S799">
        <v>532</v>
      </c>
      <c r="T799" s="1" t="s">
        <v>2022</v>
      </c>
    </row>
    <row r="800" spans="1:20" x14ac:dyDescent="0.3">
      <c r="A800" s="1" t="s">
        <v>2023</v>
      </c>
      <c r="B800" s="1" t="s">
        <v>575</v>
      </c>
      <c r="C800">
        <v>5</v>
      </c>
      <c r="D800" s="1" t="s">
        <v>12</v>
      </c>
      <c r="E800" s="1" t="s">
        <v>38</v>
      </c>
      <c r="F800" s="1" t="s">
        <v>103</v>
      </c>
      <c r="G800" s="1" t="s">
        <v>91</v>
      </c>
      <c r="H800" s="1" t="s">
        <v>115</v>
      </c>
      <c r="I800">
        <v>673</v>
      </c>
      <c r="J800">
        <v>617</v>
      </c>
      <c r="K800">
        <v>1471</v>
      </c>
      <c r="L800">
        <v>11397</v>
      </c>
      <c r="M800">
        <v>14158</v>
      </c>
      <c r="N800" s="2">
        <v>45675</v>
      </c>
      <c r="O800" s="2">
        <v>45779</v>
      </c>
      <c r="P800" s="1" t="s">
        <v>25</v>
      </c>
      <c r="Q800" s="1" t="s">
        <v>16</v>
      </c>
      <c r="R800" s="1" t="s">
        <v>87</v>
      </c>
      <c r="S800">
        <v>592</v>
      </c>
      <c r="T800" s="1" t="s">
        <v>2024</v>
      </c>
    </row>
    <row r="801" spans="1:20" x14ac:dyDescent="0.3">
      <c r="A801" s="1" t="s">
        <v>2025</v>
      </c>
      <c r="B801" s="1" t="s">
        <v>2026</v>
      </c>
      <c r="C801">
        <v>81</v>
      </c>
      <c r="D801" s="1" t="s">
        <v>12</v>
      </c>
      <c r="E801" s="1" t="s">
        <v>20</v>
      </c>
      <c r="F801" s="1" t="s">
        <v>135</v>
      </c>
      <c r="G801" s="1" t="s">
        <v>91</v>
      </c>
      <c r="H801" s="1" t="s">
        <v>115</v>
      </c>
      <c r="I801">
        <v>1228</v>
      </c>
      <c r="J801">
        <v>2652</v>
      </c>
      <c r="K801">
        <v>4771</v>
      </c>
      <c r="L801">
        <v>8206</v>
      </c>
      <c r="M801">
        <v>16857</v>
      </c>
      <c r="N801" s="2">
        <v>45718</v>
      </c>
      <c r="O801" s="2">
        <v>45801</v>
      </c>
      <c r="P801" s="1" t="s">
        <v>110</v>
      </c>
      <c r="Q801" s="1" t="s">
        <v>31</v>
      </c>
      <c r="R801" s="1" t="s">
        <v>17</v>
      </c>
      <c r="S801">
        <v>449</v>
      </c>
      <c r="T801" s="1" t="s">
        <v>2027</v>
      </c>
    </row>
    <row r="802" spans="1:20" x14ac:dyDescent="0.3">
      <c r="A802" s="1" t="s">
        <v>2028</v>
      </c>
      <c r="B802" s="1" t="s">
        <v>2029</v>
      </c>
      <c r="C802">
        <v>59</v>
      </c>
      <c r="D802" s="1" t="s">
        <v>23</v>
      </c>
      <c r="E802" s="1" t="s">
        <v>24</v>
      </c>
      <c r="F802" s="1" t="s">
        <v>97</v>
      </c>
      <c r="G802" s="1" t="s">
        <v>85</v>
      </c>
      <c r="H802" s="1" t="s">
        <v>165</v>
      </c>
      <c r="I802">
        <v>429</v>
      </c>
      <c r="J802">
        <v>3493</v>
      </c>
      <c r="K802">
        <v>3794</v>
      </c>
      <c r="L802">
        <v>11523</v>
      </c>
      <c r="M802">
        <v>19239</v>
      </c>
      <c r="N802" s="2">
        <v>45671</v>
      </c>
      <c r="O802" s="2">
        <v>45936</v>
      </c>
      <c r="P802" s="1" t="s">
        <v>25</v>
      </c>
      <c r="Q802" s="1" t="s">
        <v>9</v>
      </c>
      <c r="R802" s="1" t="s">
        <v>22</v>
      </c>
      <c r="S802">
        <v>223</v>
      </c>
      <c r="T802" s="1" t="s">
        <v>2030</v>
      </c>
    </row>
    <row r="803" spans="1:20" x14ac:dyDescent="0.3">
      <c r="A803" s="1" t="s">
        <v>2031</v>
      </c>
      <c r="B803" s="1" t="s">
        <v>653</v>
      </c>
      <c r="C803">
        <v>45</v>
      </c>
      <c r="D803" s="1" t="s">
        <v>12</v>
      </c>
      <c r="E803" s="1" t="s">
        <v>40</v>
      </c>
      <c r="F803" s="1" t="s">
        <v>135</v>
      </c>
      <c r="G803" s="1" t="s">
        <v>85</v>
      </c>
      <c r="H803" s="1" t="s">
        <v>199</v>
      </c>
      <c r="I803">
        <v>1433</v>
      </c>
      <c r="J803">
        <v>1179</v>
      </c>
      <c r="K803">
        <v>7402</v>
      </c>
      <c r="L803">
        <v>9269</v>
      </c>
      <c r="M803">
        <v>19283</v>
      </c>
      <c r="N803" s="2">
        <v>45751</v>
      </c>
      <c r="O803" s="2">
        <v>45861</v>
      </c>
      <c r="P803" s="1" t="s">
        <v>110</v>
      </c>
      <c r="Q803" s="1" t="s">
        <v>31</v>
      </c>
      <c r="R803" s="1" t="s">
        <v>22</v>
      </c>
      <c r="S803">
        <v>303</v>
      </c>
      <c r="T803" s="1" t="s">
        <v>2032</v>
      </c>
    </row>
    <row r="804" spans="1:20" x14ac:dyDescent="0.3">
      <c r="A804" s="1" t="s">
        <v>2033</v>
      </c>
      <c r="B804" s="1" t="s">
        <v>311</v>
      </c>
      <c r="C804">
        <v>77</v>
      </c>
      <c r="D804" s="1" t="s">
        <v>23</v>
      </c>
      <c r="E804" s="1" t="s">
        <v>24</v>
      </c>
      <c r="F804" s="1" t="s">
        <v>103</v>
      </c>
      <c r="G804" s="1" t="s">
        <v>104</v>
      </c>
      <c r="H804" s="1" t="s">
        <v>99</v>
      </c>
      <c r="I804">
        <v>1404</v>
      </c>
      <c r="J804">
        <v>2387</v>
      </c>
      <c r="K804">
        <v>5982</v>
      </c>
      <c r="L804">
        <v>9697</v>
      </c>
      <c r="M804">
        <v>19470</v>
      </c>
      <c r="N804" s="2">
        <v>45743</v>
      </c>
      <c r="O804" s="2">
        <v>45849</v>
      </c>
      <c r="P804" s="1" t="s">
        <v>25</v>
      </c>
      <c r="Q804" s="1" t="s">
        <v>31</v>
      </c>
      <c r="R804" s="1" t="s">
        <v>87</v>
      </c>
      <c r="S804">
        <v>749</v>
      </c>
      <c r="T804" s="1" t="s">
        <v>2034</v>
      </c>
    </row>
    <row r="805" spans="1:20" x14ac:dyDescent="0.3">
      <c r="A805" s="1" t="s">
        <v>2035</v>
      </c>
      <c r="B805" s="1" t="s">
        <v>640</v>
      </c>
      <c r="C805">
        <v>20</v>
      </c>
      <c r="D805" s="1" t="s">
        <v>12</v>
      </c>
      <c r="E805" s="1" t="s">
        <v>27</v>
      </c>
      <c r="F805" s="1" t="s">
        <v>84</v>
      </c>
      <c r="G805" s="1" t="s">
        <v>91</v>
      </c>
      <c r="H805" s="1" t="s">
        <v>165</v>
      </c>
      <c r="I805">
        <v>400</v>
      </c>
      <c r="J805">
        <v>3783</v>
      </c>
      <c r="K805">
        <v>2728</v>
      </c>
      <c r="L805">
        <v>7386</v>
      </c>
      <c r="M805">
        <v>14297</v>
      </c>
      <c r="N805" s="2">
        <v>45925</v>
      </c>
      <c r="O805" s="2">
        <v>45873</v>
      </c>
      <c r="P805" s="1" t="s">
        <v>116</v>
      </c>
      <c r="Q805" s="1" t="s">
        <v>31</v>
      </c>
      <c r="R805" s="1" t="s">
        <v>87</v>
      </c>
      <c r="S805">
        <v>407</v>
      </c>
      <c r="T805" s="1" t="s">
        <v>2036</v>
      </c>
    </row>
    <row r="806" spans="1:20" x14ac:dyDescent="0.3">
      <c r="A806" s="1" t="s">
        <v>2037</v>
      </c>
      <c r="B806" s="1" t="s">
        <v>739</v>
      </c>
      <c r="C806">
        <v>72</v>
      </c>
      <c r="D806" s="1" t="s">
        <v>12</v>
      </c>
      <c r="E806" s="1" t="s">
        <v>38</v>
      </c>
      <c r="F806" s="1" t="s">
        <v>84</v>
      </c>
      <c r="G806" s="1" t="s">
        <v>176</v>
      </c>
      <c r="H806" s="1" t="s">
        <v>37</v>
      </c>
      <c r="I806">
        <v>421</v>
      </c>
      <c r="J806">
        <v>3861</v>
      </c>
      <c r="K806">
        <v>1449</v>
      </c>
      <c r="L806">
        <v>3355</v>
      </c>
      <c r="M806">
        <v>9086</v>
      </c>
      <c r="N806" s="2">
        <v>45904</v>
      </c>
      <c r="O806" s="2">
        <v>45740</v>
      </c>
      <c r="P806" s="1" t="s">
        <v>19</v>
      </c>
      <c r="Q806" s="1" t="s">
        <v>31</v>
      </c>
      <c r="R806" s="1" t="s">
        <v>87</v>
      </c>
      <c r="S806">
        <v>529</v>
      </c>
      <c r="T806" s="1" t="s">
        <v>2038</v>
      </c>
    </row>
    <row r="807" spans="1:20" x14ac:dyDescent="0.3">
      <c r="A807" s="1" t="s">
        <v>2039</v>
      </c>
      <c r="B807" s="1" t="s">
        <v>305</v>
      </c>
      <c r="C807">
        <v>32</v>
      </c>
      <c r="D807" s="1" t="s">
        <v>12</v>
      </c>
      <c r="E807" s="1" t="s">
        <v>40</v>
      </c>
      <c r="F807" s="1" t="s">
        <v>114</v>
      </c>
      <c r="G807" s="1" t="s">
        <v>125</v>
      </c>
      <c r="H807" s="1" t="s">
        <v>105</v>
      </c>
      <c r="I807">
        <v>865</v>
      </c>
      <c r="J807">
        <v>1650</v>
      </c>
      <c r="K807">
        <v>7612</v>
      </c>
      <c r="L807">
        <v>7577</v>
      </c>
      <c r="M807">
        <v>17704</v>
      </c>
      <c r="N807" s="2">
        <v>45721</v>
      </c>
      <c r="O807" s="2">
        <v>45957</v>
      </c>
      <c r="P807" s="1" t="s">
        <v>25</v>
      </c>
      <c r="Q807" s="1" t="s">
        <v>31</v>
      </c>
      <c r="R807" s="1" t="s">
        <v>87</v>
      </c>
      <c r="S807">
        <v>382</v>
      </c>
      <c r="T807" s="1" t="s">
        <v>2040</v>
      </c>
    </row>
    <row r="808" spans="1:20" x14ac:dyDescent="0.3">
      <c r="A808" s="1" t="s">
        <v>2041</v>
      </c>
      <c r="B808" s="1" t="s">
        <v>57</v>
      </c>
      <c r="C808">
        <v>82</v>
      </c>
      <c r="D808" s="1" t="s">
        <v>23</v>
      </c>
      <c r="E808" s="1" t="s">
        <v>27</v>
      </c>
      <c r="F808" s="1" t="s">
        <v>124</v>
      </c>
      <c r="G808" s="1" t="s">
        <v>85</v>
      </c>
      <c r="H808" s="1" t="s">
        <v>13</v>
      </c>
      <c r="I808">
        <v>1264</v>
      </c>
      <c r="J808">
        <v>2402</v>
      </c>
      <c r="K808">
        <v>5710</v>
      </c>
      <c r="L808">
        <v>8180</v>
      </c>
      <c r="M808">
        <v>17556</v>
      </c>
      <c r="N808" s="2">
        <v>45810</v>
      </c>
      <c r="O808" s="2">
        <v>45721</v>
      </c>
      <c r="P808" s="1" t="s">
        <v>110</v>
      </c>
      <c r="Q808" s="1" t="s">
        <v>16</v>
      </c>
      <c r="R808" s="1" t="s">
        <v>87</v>
      </c>
      <c r="S808">
        <v>449</v>
      </c>
      <c r="T808" s="1" t="s">
        <v>2042</v>
      </c>
    </row>
    <row r="809" spans="1:20" x14ac:dyDescent="0.3">
      <c r="A809" s="1" t="s">
        <v>2043</v>
      </c>
      <c r="B809" s="1" t="s">
        <v>168</v>
      </c>
      <c r="C809">
        <v>49</v>
      </c>
      <c r="D809" s="1" t="s">
        <v>12</v>
      </c>
      <c r="E809" s="1" t="s">
        <v>40</v>
      </c>
      <c r="F809" s="1" t="s">
        <v>114</v>
      </c>
      <c r="G809" s="1" t="s">
        <v>98</v>
      </c>
      <c r="H809" s="1" t="s">
        <v>92</v>
      </c>
      <c r="I809">
        <v>1172</v>
      </c>
      <c r="J809">
        <v>1879</v>
      </c>
      <c r="K809">
        <v>7478</v>
      </c>
      <c r="L809">
        <v>12628</v>
      </c>
      <c r="M809">
        <v>23157</v>
      </c>
      <c r="N809" s="2">
        <v>46012</v>
      </c>
      <c r="O809" s="2">
        <v>45907</v>
      </c>
      <c r="P809" s="1" t="s">
        <v>14</v>
      </c>
      <c r="Q809" s="1" t="s">
        <v>16</v>
      </c>
      <c r="R809" s="1" t="s">
        <v>22</v>
      </c>
      <c r="S809">
        <v>849</v>
      </c>
      <c r="T809" s="1" t="s">
        <v>2044</v>
      </c>
    </row>
    <row r="810" spans="1:20" x14ac:dyDescent="0.3">
      <c r="A810" s="1" t="s">
        <v>2045</v>
      </c>
      <c r="B810" s="1" t="s">
        <v>1770</v>
      </c>
      <c r="C810">
        <v>31</v>
      </c>
      <c r="D810" s="1" t="s">
        <v>12</v>
      </c>
      <c r="E810" s="1" t="s">
        <v>20</v>
      </c>
      <c r="F810" s="1" t="s">
        <v>120</v>
      </c>
      <c r="G810" s="1" t="s">
        <v>125</v>
      </c>
      <c r="H810" s="1" t="s">
        <v>199</v>
      </c>
      <c r="I810">
        <v>416</v>
      </c>
      <c r="J810">
        <v>1361</v>
      </c>
      <c r="K810">
        <v>7387</v>
      </c>
      <c r="L810">
        <v>13614</v>
      </c>
      <c r="M810">
        <v>22778</v>
      </c>
      <c r="N810" s="2">
        <v>45801</v>
      </c>
      <c r="O810" s="2">
        <v>45799</v>
      </c>
      <c r="P810" s="1" t="s">
        <v>14</v>
      </c>
      <c r="Q810" s="1" t="s">
        <v>21</v>
      </c>
      <c r="R810" s="1" t="s">
        <v>17</v>
      </c>
      <c r="S810">
        <v>185</v>
      </c>
      <c r="T810" s="1" t="s">
        <v>2046</v>
      </c>
    </row>
    <row r="811" spans="1:20" x14ac:dyDescent="0.3">
      <c r="A811" s="1" t="s">
        <v>2047</v>
      </c>
      <c r="B811" s="1" t="s">
        <v>1506</v>
      </c>
      <c r="C811">
        <v>32</v>
      </c>
      <c r="D811" s="1" t="s">
        <v>12</v>
      </c>
      <c r="E811" s="1" t="s">
        <v>38</v>
      </c>
      <c r="F811" s="1" t="s">
        <v>84</v>
      </c>
      <c r="G811" s="1" t="s">
        <v>98</v>
      </c>
      <c r="H811" s="1" t="s">
        <v>199</v>
      </c>
      <c r="I811">
        <v>844</v>
      </c>
      <c r="J811">
        <v>1351</v>
      </c>
      <c r="K811">
        <v>6697</v>
      </c>
      <c r="L811">
        <v>14537</v>
      </c>
      <c r="M811">
        <v>23429</v>
      </c>
      <c r="N811" s="2">
        <v>46020</v>
      </c>
      <c r="O811" s="2">
        <v>45907</v>
      </c>
      <c r="P811" s="1" t="s">
        <v>110</v>
      </c>
      <c r="Q811" s="1" t="s">
        <v>9</v>
      </c>
      <c r="R811" s="1" t="s">
        <v>22</v>
      </c>
      <c r="S811">
        <v>716</v>
      </c>
      <c r="T811" s="1" t="s">
        <v>2048</v>
      </c>
    </row>
    <row r="812" spans="1:20" x14ac:dyDescent="0.3">
      <c r="A812" s="1" t="s">
        <v>2049</v>
      </c>
      <c r="B812" s="1" t="s">
        <v>563</v>
      </c>
      <c r="C812">
        <v>74</v>
      </c>
      <c r="D812" s="1" t="s">
        <v>23</v>
      </c>
      <c r="E812" s="1" t="s">
        <v>27</v>
      </c>
      <c r="F812" s="1" t="s">
        <v>114</v>
      </c>
      <c r="G812" s="1" t="s">
        <v>98</v>
      </c>
      <c r="H812" s="1" t="s">
        <v>105</v>
      </c>
      <c r="I812">
        <v>1038</v>
      </c>
      <c r="J812">
        <v>3955</v>
      </c>
      <c r="K812">
        <v>6978</v>
      </c>
      <c r="L812">
        <v>7451</v>
      </c>
      <c r="M812">
        <v>19422</v>
      </c>
      <c r="N812" s="2">
        <v>45678</v>
      </c>
      <c r="O812" s="2">
        <v>45835</v>
      </c>
      <c r="P812" s="1" t="s">
        <v>116</v>
      </c>
      <c r="Q812" s="1" t="s">
        <v>16</v>
      </c>
      <c r="R812" s="1" t="s">
        <v>17</v>
      </c>
      <c r="S812">
        <v>932</v>
      </c>
      <c r="T812" s="1" t="s">
        <v>2050</v>
      </c>
    </row>
    <row r="813" spans="1:20" x14ac:dyDescent="0.3">
      <c r="A813" s="1" t="s">
        <v>2051</v>
      </c>
      <c r="B813" s="1" t="s">
        <v>32</v>
      </c>
      <c r="C813">
        <v>28</v>
      </c>
      <c r="D813" s="1" t="s">
        <v>23</v>
      </c>
      <c r="E813" s="1" t="s">
        <v>20</v>
      </c>
      <c r="F813" s="1" t="s">
        <v>103</v>
      </c>
      <c r="G813" s="1" t="s">
        <v>176</v>
      </c>
      <c r="H813" s="1" t="s">
        <v>186</v>
      </c>
      <c r="I813">
        <v>502</v>
      </c>
      <c r="J813">
        <v>2894</v>
      </c>
      <c r="K813">
        <v>7842</v>
      </c>
      <c r="L813">
        <v>7752</v>
      </c>
      <c r="M813">
        <v>18990</v>
      </c>
      <c r="N813" s="2">
        <v>45672</v>
      </c>
      <c r="O813" s="2">
        <v>45891</v>
      </c>
      <c r="P813" s="1" t="s">
        <v>14</v>
      </c>
      <c r="Q813" s="1" t="s">
        <v>21</v>
      </c>
      <c r="R813" s="1" t="s">
        <v>17</v>
      </c>
      <c r="S813">
        <v>354</v>
      </c>
      <c r="T813" s="1" t="s">
        <v>2052</v>
      </c>
    </row>
    <row r="814" spans="1:20" x14ac:dyDescent="0.3">
      <c r="A814" s="1" t="s">
        <v>2053</v>
      </c>
      <c r="B814" s="1" t="s">
        <v>69</v>
      </c>
      <c r="C814">
        <v>42</v>
      </c>
      <c r="D814" s="1" t="s">
        <v>12</v>
      </c>
      <c r="E814" s="1" t="s">
        <v>27</v>
      </c>
      <c r="F814" s="1" t="s">
        <v>124</v>
      </c>
      <c r="G814" s="1" t="s">
        <v>176</v>
      </c>
      <c r="H814" s="1" t="s">
        <v>145</v>
      </c>
      <c r="I814">
        <v>728</v>
      </c>
      <c r="J814">
        <v>4983</v>
      </c>
      <c r="K814">
        <v>5610</v>
      </c>
      <c r="L814">
        <v>6273</v>
      </c>
      <c r="M814">
        <v>17594</v>
      </c>
      <c r="N814" s="2">
        <v>45863</v>
      </c>
      <c r="O814" s="2">
        <v>45836</v>
      </c>
      <c r="P814" s="1" t="s">
        <v>25</v>
      </c>
      <c r="Q814" s="1" t="s">
        <v>16</v>
      </c>
      <c r="R814" s="1" t="s">
        <v>17</v>
      </c>
      <c r="S814">
        <v>460</v>
      </c>
      <c r="T814" s="1" t="s">
        <v>2054</v>
      </c>
    </row>
    <row r="815" spans="1:20" x14ac:dyDescent="0.3">
      <c r="A815" s="1" t="s">
        <v>2055</v>
      </c>
      <c r="B815" s="1" t="s">
        <v>1064</v>
      </c>
      <c r="C815">
        <v>41</v>
      </c>
      <c r="D815" s="1" t="s">
        <v>12</v>
      </c>
      <c r="E815" s="1" t="s">
        <v>40</v>
      </c>
      <c r="F815" s="1" t="s">
        <v>114</v>
      </c>
      <c r="G815" s="1" t="s">
        <v>91</v>
      </c>
      <c r="H815" s="1" t="s">
        <v>37</v>
      </c>
      <c r="I815">
        <v>1131</v>
      </c>
      <c r="J815">
        <v>3063</v>
      </c>
      <c r="K815">
        <v>5393</v>
      </c>
      <c r="L815">
        <v>9146</v>
      </c>
      <c r="M815">
        <v>18733</v>
      </c>
      <c r="N815" s="2">
        <v>45985</v>
      </c>
      <c r="O815" s="2">
        <v>45753</v>
      </c>
      <c r="P815" s="1" t="s">
        <v>93</v>
      </c>
      <c r="Q815" s="1" t="s">
        <v>9</v>
      </c>
      <c r="R815" s="1" t="s">
        <v>17</v>
      </c>
      <c r="S815">
        <v>445</v>
      </c>
      <c r="T815" s="1" t="s">
        <v>2056</v>
      </c>
    </row>
    <row r="816" spans="1:20" x14ac:dyDescent="0.3">
      <c r="A816" s="1" t="s">
        <v>2057</v>
      </c>
      <c r="B816" s="1" t="s">
        <v>586</v>
      </c>
      <c r="C816">
        <v>21</v>
      </c>
      <c r="D816" s="1" t="s">
        <v>23</v>
      </c>
      <c r="E816" s="1" t="s">
        <v>36</v>
      </c>
      <c r="F816" s="1" t="s">
        <v>97</v>
      </c>
      <c r="G816" s="1" t="s">
        <v>176</v>
      </c>
      <c r="H816" s="1" t="s">
        <v>18</v>
      </c>
      <c r="I816">
        <v>528</v>
      </c>
      <c r="J816">
        <v>2054</v>
      </c>
      <c r="K816">
        <v>5066</v>
      </c>
      <c r="L816">
        <v>6087</v>
      </c>
      <c r="M816">
        <v>13735</v>
      </c>
      <c r="N816" s="2">
        <v>45917</v>
      </c>
      <c r="O816" s="2">
        <v>46016</v>
      </c>
      <c r="P816" s="1" t="s">
        <v>110</v>
      </c>
      <c r="Q816" s="1" t="s">
        <v>31</v>
      </c>
      <c r="R816" s="1" t="s">
        <v>17</v>
      </c>
      <c r="S816">
        <v>733</v>
      </c>
      <c r="T816" s="1" t="s">
        <v>2058</v>
      </c>
    </row>
    <row r="817" spans="1:20" x14ac:dyDescent="0.3">
      <c r="A817" s="1" t="s">
        <v>2059</v>
      </c>
      <c r="B817" s="1" t="s">
        <v>800</v>
      </c>
      <c r="C817">
        <v>12</v>
      </c>
      <c r="D817" s="1" t="s">
        <v>23</v>
      </c>
      <c r="E817" s="1" t="s">
        <v>24</v>
      </c>
      <c r="F817" s="1" t="s">
        <v>120</v>
      </c>
      <c r="G817" s="1" t="s">
        <v>176</v>
      </c>
      <c r="H817" s="1" t="s">
        <v>165</v>
      </c>
      <c r="I817">
        <v>598</v>
      </c>
      <c r="J817">
        <v>3286</v>
      </c>
      <c r="K817">
        <v>4664</v>
      </c>
      <c r="L817">
        <v>6796</v>
      </c>
      <c r="M817">
        <v>15344</v>
      </c>
      <c r="N817" s="2">
        <v>45861</v>
      </c>
      <c r="O817" s="2">
        <v>45726</v>
      </c>
      <c r="P817" s="1" t="s">
        <v>93</v>
      </c>
      <c r="Q817" s="1" t="s">
        <v>21</v>
      </c>
      <c r="R817" s="1" t="s">
        <v>87</v>
      </c>
      <c r="S817">
        <v>683</v>
      </c>
      <c r="T817" s="1" t="s">
        <v>2060</v>
      </c>
    </row>
    <row r="818" spans="1:20" x14ac:dyDescent="0.3">
      <c r="A818" s="1" t="s">
        <v>2061</v>
      </c>
      <c r="B818" s="1" t="s">
        <v>62</v>
      </c>
      <c r="C818">
        <v>57</v>
      </c>
      <c r="D818" s="1" t="s">
        <v>23</v>
      </c>
      <c r="E818" s="1" t="s">
        <v>40</v>
      </c>
      <c r="F818" s="1" t="s">
        <v>84</v>
      </c>
      <c r="G818" s="1" t="s">
        <v>125</v>
      </c>
      <c r="H818" s="1" t="s">
        <v>86</v>
      </c>
      <c r="I818">
        <v>860</v>
      </c>
      <c r="J818">
        <v>715</v>
      </c>
      <c r="K818">
        <v>4350</v>
      </c>
      <c r="L818">
        <v>4677</v>
      </c>
      <c r="M818">
        <v>10602</v>
      </c>
      <c r="N818" s="2">
        <v>46013</v>
      </c>
      <c r="O818" s="2">
        <v>45770</v>
      </c>
      <c r="P818" s="1" t="s">
        <v>19</v>
      </c>
      <c r="Q818" s="1" t="s">
        <v>31</v>
      </c>
      <c r="R818" s="1" t="s">
        <v>22</v>
      </c>
      <c r="S818">
        <v>112</v>
      </c>
      <c r="T818" s="1" t="s">
        <v>2062</v>
      </c>
    </row>
    <row r="819" spans="1:20" x14ac:dyDescent="0.3">
      <c r="A819" s="1" t="s">
        <v>2063</v>
      </c>
      <c r="B819" s="1" t="s">
        <v>1160</v>
      </c>
      <c r="C819">
        <v>79</v>
      </c>
      <c r="D819" s="1" t="s">
        <v>12</v>
      </c>
      <c r="E819" s="1" t="s">
        <v>38</v>
      </c>
      <c r="F819" s="1" t="s">
        <v>135</v>
      </c>
      <c r="G819" s="1" t="s">
        <v>104</v>
      </c>
      <c r="H819" s="1" t="s">
        <v>199</v>
      </c>
      <c r="I819">
        <v>1439</v>
      </c>
      <c r="J819">
        <v>2074</v>
      </c>
      <c r="K819">
        <v>3677</v>
      </c>
      <c r="L819">
        <v>4048</v>
      </c>
      <c r="M819">
        <v>11238</v>
      </c>
      <c r="N819" s="2">
        <v>45923</v>
      </c>
      <c r="O819" s="2">
        <v>45955</v>
      </c>
      <c r="P819" s="1" t="s">
        <v>93</v>
      </c>
      <c r="Q819" s="1" t="s">
        <v>21</v>
      </c>
      <c r="R819" s="1" t="s">
        <v>87</v>
      </c>
      <c r="S819">
        <v>915</v>
      </c>
      <c r="T819" s="1" t="s">
        <v>2064</v>
      </c>
    </row>
    <row r="820" spans="1:20" x14ac:dyDescent="0.3">
      <c r="A820" s="1" t="s">
        <v>2065</v>
      </c>
      <c r="B820" s="1" t="s">
        <v>697</v>
      </c>
      <c r="C820">
        <v>48</v>
      </c>
      <c r="D820" s="1" t="s">
        <v>12</v>
      </c>
      <c r="E820" s="1" t="s">
        <v>15</v>
      </c>
      <c r="F820" s="1" t="s">
        <v>84</v>
      </c>
      <c r="G820" s="1" t="s">
        <v>158</v>
      </c>
      <c r="H820" s="1" t="s">
        <v>186</v>
      </c>
      <c r="I820">
        <v>1406</v>
      </c>
      <c r="J820">
        <v>3425</v>
      </c>
      <c r="K820">
        <v>931</v>
      </c>
      <c r="L820">
        <v>12357</v>
      </c>
      <c r="M820">
        <v>18119</v>
      </c>
      <c r="N820" s="2">
        <v>45726</v>
      </c>
      <c r="O820" s="2">
        <v>45822</v>
      </c>
      <c r="P820" s="1" t="s">
        <v>19</v>
      </c>
      <c r="Q820" s="1" t="s">
        <v>9</v>
      </c>
      <c r="R820" s="1" t="s">
        <v>87</v>
      </c>
      <c r="S820">
        <v>421</v>
      </c>
      <c r="T820" s="1" t="s">
        <v>2066</v>
      </c>
    </row>
    <row r="821" spans="1:20" x14ac:dyDescent="0.3">
      <c r="A821" s="1" t="s">
        <v>2067</v>
      </c>
      <c r="B821" s="1" t="s">
        <v>640</v>
      </c>
      <c r="C821">
        <v>45</v>
      </c>
      <c r="D821" s="1" t="s">
        <v>23</v>
      </c>
      <c r="E821" s="1" t="s">
        <v>38</v>
      </c>
      <c r="F821" s="1" t="s">
        <v>135</v>
      </c>
      <c r="G821" s="1" t="s">
        <v>158</v>
      </c>
      <c r="H821" s="1" t="s">
        <v>165</v>
      </c>
      <c r="I821">
        <v>1476</v>
      </c>
      <c r="J821">
        <v>935</v>
      </c>
      <c r="K821">
        <v>4070</v>
      </c>
      <c r="L821">
        <v>11138</v>
      </c>
      <c r="M821">
        <v>17619</v>
      </c>
      <c r="N821" s="2">
        <v>45882</v>
      </c>
      <c r="O821" s="2">
        <v>45912</v>
      </c>
      <c r="P821" s="1" t="s">
        <v>136</v>
      </c>
      <c r="Q821" s="1" t="s">
        <v>31</v>
      </c>
      <c r="R821" s="1" t="s">
        <v>22</v>
      </c>
      <c r="S821">
        <v>673</v>
      </c>
      <c r="T821" s="1" t="s">
        <v>2068</v>
      </c>
    </row>
    <row r="822" spans="1:20" x14ac:dyDescent="0.3">
      <c r="A822" s="1" t="s">
        <v>2069</v>
      </c>
      <c r="B822" s="1" t="s">
        <v>1380</v>
      </c>
      <c r="C822">
        <v>45</v>
      </c>
      <c r="D822" s="1" t="s">
        <v>12</v>
      </c>
      <c r="E822" s="1" t="s">
        <v>27</v>
      </c>
      <c r="F822" s="1" t="s">
        <v>109</v>
      </c>
      <c r="G822" s="1" t="s">
        <v>125</v>
      </c>
      <c r="H822" s="1" t="s">
        <v>37</v>
      </c>
      <c r="I822">
        <v>1025</v>
      </c>
      <c r="J822">
        <v>1035</v>
      </c>
      <c r="K822">
        <v>6188</v>
      </c>
      <c r="L822">
        <v>5523</v>
      </c>
      <c r="M822">
        <v>13771</v>
      </c>
      <c r="N822" s="2">
        <v>45949</v>
      </c>
      <c r="O822" s="2">
        <v>45787</v>
      </c>
      <c r="P822" s="1" t="s">
        <v>34</v>
      </c>
      <c r="Q822" s="1" t="s">
        <v>31</v>
      </c>
      <c r="R822" s="1" t="s">
        <v>17</v>
      </c>
      <c r="S822">
        <v>320</v>
      </c>
      <c r="T822" s="1" t="s">
        <v>2070</v>
      </c>
    </row>
    <row r="823" spans="1:20" x14ac:dyDescent="0.3">
      <c r="A823" s="1" t="s">
        <v>2071</v>
      </c>
      <c r="B823" s="1" t="s">
        <v>56</v>
      </c>
      <c r="C823">
        <v>69</v>
      </c>
      <c r="D823" s="1" t="s">
        <v>12</v>
      </c>
      <c r="E823" s="1" t="s">
        <v>20</v>
      </c>
      <c r="F823" s="1" t="s">
        <v>97</v>
      </c>
      <c r="G823" s="1" t="s">
        <v>176</v>
      </c>
      <c r="H823" s="1" t="s">
        <v>105</v>
      </c>
      <c r="I823">
        <v>1467</v>
      </c>
      <c r="J823">
        <v>4661</v>
      </c>
      <c r="K823">
        <v>3635</v>
      </c>
      <c r="L823">
        <v>3363</v>
      </c>
      <c r="M823">
        <v>13126</v>
      </c>
      <c r="N823" s="2">
        <v>45934</v>
      </c>
      <c r="O823" s="2">
        <v>46006</v>
      </c>
      <c r="P823" s="1" t="s">
        <v>136</v>
      </c>
      <c r="Q823" s="1" t="s">
        <v>16</v>
      </c>
      <c r="R823" s="1" t="s">
        <v>87</v>
      </c>
      <c r="S823">
        <v>154</v>
      </c>
      <c r="T823" s="1" t="s">
        <v>2072</v>
      </c>
    </row>
    <row r="824" spans="1:20" x14ac:dyDescent="0.3">
      <c r="A824" s="1" t="s">
        <v>2073</v>
      </c>
      <c r="B824" s="1" t="s">
        <v>102</v>
      </c>
      <c r="C824">
        <v>16</v>
      </c>
      <c r="D824" s="1" t="s">
        <v>23</v>
      </c>
      <c r="E824" s="1" t="s">
        <v>27</v>
      </c>
      <c r="F824" s="1" t="s">
        <v>114</v>
      </c>
      <c r="G824" s="1" t="s">
        <v>104</v>
      </c>
      <c r="H824" s="1" t="s">
        <v>199</v>
      </c>
      <c r="I824">
        <v>630</v>
      </c>
      <c r="J824">
        <v>2094</v>
      </c>
      <c r="K824">
        <v>2338</v>
      </c>
      <c r="L824">
        <v>10855</v>
      </c>
      <c r="M824">
        <v>15917</v>
      </c>
      <c r="N824" s="2">
        <v>45749</v>
      </c>
      <c r="O824" s="2">
        <v>45750</v>
      </c>
      <c r="P824" s="1" t="s">
        <v>34</v>
      </c>
      <c r="Q824" s="1" t="s">
        <v>16</v>
      </c>
      <c r="R824" s="1" t="s">
        <v>17</v>
      </c>
      <c r="S824">
        <v>191</v>
      </c>
      <c r="T824" s="1" t="s">
        <v>2074</v>
      </c>
    </row>
    <row r="825" spans="1:20" x14ac:dyDescent="0.3">
      <c r="A825" s="1" t="s">
        <v>2075</v>
      </c>
      <c r="B825" s="1" t="s">
        <v>286</v>
      </c>
      <c r="C825">
        <v>50</v>
      </c>
      <c r="D825" s="1" t="s">
        <v>12</v>
      </c>
      <c r="E825" s="1" t="s">
        <v>38</v>
      </c>
      <c r="F825" s="1" t="s">
        <v>120</v>
      </c>
      <c r="G825" s="1" t="s">
        <v>91</v>
      </c>
      <c r="H825" s="1" t="s">
        <v>215</v>
      </c>
      <c r="I825">
        <v>583</v>
      </c>
      <c r="J825">
        <v>3312</v>
      </c>
      <c r="K825">
        <v>1799</v>
      </c>
      <c r="L825">
        <v>2570</v>
      </c>
      <c r="M825">
        <v>8264</v>
      </c>
      <c r="N825" s="2">
        <v>45817</v>
      </c>
      <c r="O825" s="2">
        <v>45839</v>
      </c>
      <c r="P825" s="1" t="s">
        <v>25</v>
      </c>
      <c r="Q825" s="1" t="s">
        <v>9</v>
      </c>
      <c r="R825" s="1" t="s">
        <v>22</v>
      </c>
      <c r="S825">
        <v>288</v>
      </c>
      <c r="T825" s="1" t="s">
        <v>2076</v>
      </c>
    </row>
    <row r="826" spans="1:20" x14ac:dyDescent="0.3">
      <c r="A826" s="1" t="s">
        <v>2077</v>
      </c>
      <c r="B826" s="1" t="s">
        <v>1399</v>
      </c>
      <c r="C826">
        <v>30</v>
      </c>
      <c r="D826" s="1" t="s">
        <v>12</v>
      </c>
      <c r="E826" s="1" t="s">
        <v>33</v>
      </c>
      <c r="F826" s="1" t="s">
        <v>114</v>
      </c>
      <c r="G826" s="1" t="s">
        <v>104</v>
      </c>
      <c r="H826" s="1" t="s">
        <v>186</v>
      </c>
      <c r="I826">
        <v>1225</v>
      </c>
      <c r="J826">
        <v>1270</v>
      </c>
      <c r="K826">
        <v>4591</v>
      </c>
      <c r="L826">
        <v>5223</v>
      </c>
      <c r="M826">
        <v>12309</v>
      </c>
      <c r="N826" s="2">
        <v>45668</v>
      </c>
      <c r="O826" s="2">
        <v>45968</v>
      </c>
      <c r="P826" s="1" t="s">
        <v>34</v>
      </c>
      <c r="Q826" s="1" t="s">
        <v>21</v>
      </c>
      <c r="R826" s="1" t="s">
        <v>22</v>
      </c>
      <c r="S826">
        <v>272</v>
      </c>
      <c r="T826" s="1" t="s">
        <v>2078</v>
      </c>
    </row>
    <row r="827" spans="1:20" x14ac:dyDescent="0.3">
      <c r="A827" s="1" t="s">
        <v>2079</v>
      </c>
      <c r="B827" s="1" t="s">
        <v>1418</v>
      </c>
      <c r="C827">
        <v>1</v>
      </c>
      <c r="D827" s="1" t="s">
        <v>12</v>
      </c>
      <c r="E827" s="1" t="s">
        <v>27</v>
      </c>
      <c r="F827" s="1" t="s">
        <v>120</v>
      </c>
      <c r="G827" s="1" t="s">
        <v>85</v>
      </c>
      <c r="H827" s="1" t="s">
        <v>26</v>
      </c>
      <c r="I827">
        <v>356</v>
      </c>
      <c r="J827">
        <v>3570</v>
      </c>
      <c r="K827">
        <v>7339</v>
      </c>
      <c r="L827">
        <v>2136</v>
      </c>
      <c r="M827">
        <v>13401</v>
      </c>
      <c r="N827" s="2">
        <v>45746</v>
      </c>
      <c r="O827" s="2">
        <v>45754</v>
      </c>
      <c r="P827" s="1" t="s">
        <v>136</v>
      </c>
      <c r="Q827" s="1" t="s">
        <v>31</v>
      </c>
      <c r="R827" s="1" t="s">
        <v>17</v>
      </c>
      <c r="S827">
        <v>199</v>
      </c>
      <c r="T827" s="1" t="s">
        <v>2080</v>
      </c>
    </row>
    <row r="828" spans="1:20" x14ac:dyDescent="0.3">
      <c r="A828" s="1" t="s">
        <v>2081</v>
      </c>
      <c r="B828" s="1" t="s">
        <v>678</v>
      </c>
      <c r="C828">
        <v>48</v>
      </c>
      <c r="D828" s="1" t="s">
        <v>23</v>
      </c>
      <c r="E828" s="1" t="s">
        <v>33</v>
      </c>
      <c r="F828" s="1" t="s">
        <v>135</v>
      </c>
      <c r="G828" s="1" t="s">
        <v>98</v>
      </c>
      <c r="H828" s="1" t="s">
        <v>145</v>
      </c>
      <c r="I828">
        <v>1339</v>
      </c>
      <c r="J828">
        <v>1719</v>
      </c>
      <c r="K828">
        <v>6971</v>
      </c>
      <c r="L828">
        <v>14418</v>
      </c>
      <c r="M828">
        <v>24447</v>
      </c>
      <c r="N828" s="2">
        <v>45885</v>
      </c>
      <c r="O828" s="2">
        <v>45673</v>
      </c>
      <c r="P828" s="1" t="s">
        <v>136</v>
      </c>
      <c r="Q828" s="1" t="s">
        <v>16</v>
      </c>
      <c r="R828" s="1" t="s">
        <v>17</v>
      </c>
      <c r="S828">
        <v>398</v>
      </c>
      <c r="T828" s="1" t="s">
        <v>2082</v>
      </c>
    </row>
    <row r="829" spans="1:20" x14ac:dyDescent="0.3">
      <c r="A829" s="1" t="s">
        <v>2083</v>
      </c>
      <c r="B829" s="1" t="s">
        <v>1126</v>
      </c>
      <c r="C829">
        <v>76</v>
      </c>
      <c r="D829" s="1" t="s">
        <v>23</v>
      </c>
      <c r="E829" s="1" t="s">
        <v>38</v>
      </c>
      <c r="F829" s="1" t="s">
        <v>114</v>
      </c>
      <c r="G829" s="1" t="s">
        <v>176</v>
      </c>
      <c r="H829" s="1" t="s">
        <v>215</v>
      </c>
      <c r="I829">
        <v>695</v>
      </c>
      <c r="J829">
        <v>1771</v>
      </c>
      <c r="K829">
        <v>5323</v>
      </c>
      <c r="L829">
        <v>6527</v>
      </c>
      <c r="M829">
        <v>14316</v>
      </c>
      <c r="N829" s="2">
        <v>45890</v>
      </c>
      <c r="O829" s="2">
        <v>45995</v>
      </c>
      <c r="P829" s="1" t="s">
        <v>110</v>
      </c>
      <c r="Q829" s="1" t="s">
        <v>9</v>
      </c>
      <c r="R829" s="1" t="s">
        <v>22</v>
      </c>
      <c r="S829">
        <v>784</v>
      </c>
      <c r="T829" s="1" t="s">
        <v>2084</v>
      </c>
    </row>
    <row r="830" spans="1:20" x14ac:dyDescent="0.3">
      <c r="A830" s="1" t="s">
        <v>2085</v>
      </c>
      <c r="B830" s="1" t="s">
        <v>259</v>
      </c>
      <c r="C830">
        <v>32</v>
      </c>
      <c r="D830" s="1" t="s">
        <v>12</v>
      </c>
      <c r="E830" s="1" t="s">
        <v>27</v>
      </c>
      <c r="F830" s="1" t="s">
        <v>109</v>
      </c>
      <c r="G830" s="1" t="s">
        <v>176</v>
      </c>
      <c r="H830" s="1" t="s">
        <v>105</v>
      </c>
      <c r="I830">
        <v>1305</v>
      </c>
      <c r="J830">
        <v>2042</v>
      </c>
      <c r="K830">
        <v>6804</v>
      </c>
      <c r="L830">
        <v>7623</v>
      </c>
      <c r="M830">
        <v>17774</v>
      </c>
      <c r="N830" s="2">
        <v>45679</v>
      </c>
      <c r="O830" s="2">
        <v>45841</v>
      </c>
      <c r="P830" s="1" t="s">
        <v>34</v>
      </c>
      <c r="Q830" s="1" t="s">
        <v>16</v>
      </c>
      <c r="R830" s="1" t="s">
        <v>87</v>
      </c>
      <c r="S830">
        <v>193</v>
      </c>
      <c r="T830" s="1" t="s">
        <v>2086</v>
      </c>
    </row>
    <row r="831" spans="1:20" x14ac:dyDescent="0.3">
      <c r="A831" s="1" t="s">
        <v>2087</v>
      </c>
      <c r="B831" s="1" t="s">
        <v>777</v>
      </c>
      <c r="C831">
        <v>73</v>
      </c>
      <c r="D831" s="1" t="s">
        <v>12</v>
      </c>
      <c r="E831" s="1" t="s">
        <v>38</v>
      </c>
      <c r="F831" s="1" t="s">
        <v>84</v>
      </c>
      <c r="G831" s="1" t="s">
        <v>125</v>
      </c>
      <c r="H831" s="1" t="s">
        <v>26</v>
      </c>
      <c r="I831">
        <v>956</v>
      </c>
      <c r="J831">
        <v>1609</v>
      </c>
      <c r="K831">
        <v>3969</v>
      </c>
      <c r="L831">
        <v>13509</v>
      </c>
      <c r="M831">
        <v>20043</v>
      </c>
      <c r="N831" s="2">
        <v>45759</v>
      </c>
      <c r="O831" s="2">
        <v>45807</v>
      </c>
      <c r="P831" s="1" t="s">
        <v>93</v>
      </c>
      <c r="Q831" s="1" t="s">
        <v>9</v>
      </c>
      <c r="R831" s="1" t="s">
        <v>22</v>
      </c>
      <c r="S831">
        <v>602</v>
      </c>
      <c r="T831" s="1" t="s">
        <v>2088</v>
      </c>
    </row>
    <row r="832" spans="1:20" x14ac:dyDescent="0.3">
      <c r="A832" s="1" t="s">
        <v>2089</v>
      </c>
      <c r="B832" s="1" t="s">
        <v>11</v>
      </c>
      <c r="C832">
        <v>42</v>
      </c>
      <c r="D832" s="1" t="s">
        <v>12</v>
      </c>
      <c r="E832" s="1" t="s">
        <v>33</v>
      </c>
      <c r="F832" s="1" t="s">
        <v>120</v>
      </c>
      <c r="G832" s="1" t="s">
        <v>85</v>
      </c>
      <c r="H832" s="1" t="s">
        <v>26</v>
      </c>
      <c r="I832">
        <v>1319</v>
      </c>
      <c r="J832">
        <v>2852</v>
      </c>
      <c r="K832">
        <v>6614</v>
      </c>
      <c r="L832">
        <v>12207</v>
      </c>
      <c r="M832">
        <v>22992</v>
      </c>
      <c r="N832" s="2">
        <v>46015</v>
      </c>
      <c r="O832" s="2">
        <v>45686</v>
      </c>
      <c r="P832" s="1" t="s">
        <v>110</v>
      </c>
      <c r="Q832" s="1" t="s">
        <v>16</v>
      </c>
      <c r="R832" s="1" t="s">
        <v>17</v>
      </c>
      <c r="S832">
        <v>701</v>
      </c>
      <c r="T832" s="1" t="s">
        <v>2090</v>
      </c>
    </row>
    <row r="833" spans="1:20" x14ac:dyDescent="0.3">
      <c r="A833" s="1" t="s">
        <v>2091</v>
      </c>
      <c r="B833" s="1" t="s">
        <v>2092</v>
      </c>
      <c r="C833">
        <v>23</v>
      </c>
      <c r="D833" s="1" t="s">
        <v>12</v>
      </c>
      <c r="E833" s="1" t="s">
        <v>38</v>
      </c>
      <c r="F833" s="1" t="s">
        <v>103</v>
      </c>
      <c r="G833" s="1" t="s">
        <v>104</v>
      </c>
      <c r="H833" s="1" t="s">
        <v>18</v>
      </c>
      <c r="I833">
        <v>396</v>
      </c>
      <c r="J833">
        <v>2981</v>
      </c>
      <c r="K833">
        <v>3453</v>
      </c>
      <c r="L833">
        <v>4084</v>
      </c>
      <c r="M833">
        <v>10914</v>
      </c>
      <c r="N833" s="2">
        <v>45838</v>
      </c>
      <c r="O833" s="2">
        <v>45933</v>
      </c>
      <c r="P833" s="1" t="s">
        <v>34</v>
      </c>
      <c r="Q833" s="1" t="s">
        <v>31</v>
      </c>
      <c r="R833" s="1" t="s">
        <v>87</v>
      </c>
      <c r="S833">
        <v>479</v>
      </c>
      <c r="T833" s="1" t="s">
        <v>2093</v>
      </c>
    </row>
    <row r="834" spans="1:20" x14ac:dyDescent="0.3">
      <c r="A834" s="1" t="s">
        <v>2094</v>
      </c>
      <c r="B834" s="1" t="s">
        <v>386</v>
      </c>
      <c r="C834">
        <v>13</v>
      </c>
      <c r="D834" s="1" t="s">
        <v>12</v>
      </c>
      <c r="E834" s="1" t="s">
        <v>33</v>
      </c>
      <c r="F834" s="1" t="s">
        <v>109</v>
      </c>
      <c r="G834" s="1" t="s">
        <v>158</v>
      </c>
      <c r="H834" s="1" t="s">
        <v>105</v>
      </c>
      <c r="I834">
        <v>955</v>
      </c>
      <c r="J834">
        <v>1097</v>
      </c>
      <c r="K834">
        <v>6149</v>
      </c>
      <c r="L834">
        <v>4335</v>
      </c>
      <c r="M834">
        <v>12536</v>
      </c>
      <c r="N834" s="2">
        <v>45911</v>
      </c>
      <c r="O834" s="2">
        <v>45763</v>
      </c>
      <c r="P834" s="1" t="s">
        <v>136</v>
      </c>
      <c r="Q834" s="1" t="s">
        <v>9</v>
      </c>
      <c r="R834" s="1" t="s">
        <v>22</v>
      </c>
      <c r="S834">
        <v>805</v>
      </c>
      <c r="T834" s="1" t="s">
        <v>2095</v>
      </c>
    </row>
    <row r="835" spans="1:20" x14ac:dyDescent="0.3">
      <c r="A835" s="1" t="s">
        <v>2096</v>
      </c>
      <c r="B835" s="1" t="s">
        <v>1016</v>
      </c>
      <c r="C835">
        <v>31</v>
      </c>
      <c r="D835" s="1" t="s">
        <v>12</v>
      </c>
      <c r="E835" s="1" t="s">
        <v>15</v>
      </c>
      <c r="F835" s="1" t="s">
        <v>109</v>
      </c>
      <c r="G835" s="1" t="s">
        <v>98</v>
      </c>
      <c r="H835" s="1" t="s">
        <v>155</v>
      </c>
      <c r="I835">
        <v>767</v>
      </c>
      <c r="J835">
        <v>3545</v>
      </c>
      <c r="K835">
        <v>7816</v>
      </c>
      <c r="L835">
        <v>14726</v>
      </c>
      <c r="M835">
        <v>26854</v>
      </c>
      <c r="N835" s="2">
        <v>45863</v>
      </c>
      <c r="O835" s="2">
        <v>45680</v>
      </c>
      <c r="P835" s="1" t="s">
        <v>25</v>
      </c>
      <c r="Q835" s="1" t="s">
        <v>31</v>
      </c>
      <c r="R835" s="1" t="s">
        <v>87</v>
      </c>
      <c r="S835">
        <v>784</v>
      </c>
      <c r="T835" s="1" t="s">
        <v>2097</v>
      </c>
    </row>
    <row r="836" spans="1:20" x14ac:dyDescent="0.3">
      <c r="A836" s="1" t="s">
        <v>2098</v>
      </c>
      <c r="B836" s="1" t="s">
        <v>1135</v>
      </c>
      <c r="C836">
        <v>81</v>
      </c>
      <c r="D836" s="1" t="s">
        <v>12</v>
      </c>
      <c r="E836" s="1" t="s">
        <v>40</v>
      </c>
      <c r="F836" s="1" t="s">
        <v>84</v>
      </c>
      <c r="G836" s="1" t="s">
        <v>176</v>
      </c>
      <c r="H836" s="1" t="s">
        <v>165</v>
      </c>
      <c r="I836">
        <v>1138</v>
      </c>
      <c r="J836">
        <v>583</v>
      </c>
      <c r="K836">
        <v>3706</v>
      </c>
      <c r="L836">
        <v>14493</v>
      </c>
      <c r="M836">
        <v>19920</v>
      </c>
      <c r="N836" s="2">
        <v>45869</v>
      </c>
      <c r="O836" s="2">
        <v>45851</v>
      </c>
      <c r="P836" s="1" t="s">
        <v>14</v>
      </c>
      <c r="Q836" s="1" t="s">
        <v>9</v>
      </c>
      <c r="R836" s="1" t="s">
        <v>17</v>
      </c>
      <c r="S836">
        <v>714</v>
      </c>
      <c r="T836" s="1" t="s">
        <v>2099</v>
      </c>
    </row>
    <row r="837" spans="1:20" x14ac:dyDescent="0.3">
      <c r="A837" s="1" t="s">
        <v>2100</v>
      </c>
      <c r="B837" s="1" t="s">
        <v>1276</v>
      </c>
      <c r="C837">
        <v>58</v>
      </c>
      <c r="D837" s="1" t="s">
        <v>23</v>
      </c>
      <c r="E837" s="1" t="s">
        <v>20</v>
      </c>
      <c r="F837" s="1" t="s">
        <v>84</v>
      </c>
      <c r="G837" s="1" t="s">
        <v>85</v>
      </c>
      <c r="H837" s="1" t="s">
        <v>37</v>
      </c>
      <c r="I837">
        <v>534</v>
      </c>
      <c r="J837">
        <v>1444</v>
      </c>
      <c r="K837">
        <v>1601</v>
      </c>
      <c r="L837">
        <v>13962</v>
      </c>
      <c r="M837">
        <v>17541</v>
      </c>
      <c r="N837" s="2">
        <v>45908</v>
      </c>
      <c r="O837" s="2">
        <v>45692</v>
      </c>
      <c r="P837" s="1" t="s">
        <v>25</v>
      </c>
      <c r="Q837" s="1" t="s">
        <v>21</v>
      </c>
      <c r="R837" s="1" t="s">
        <v>87</v>
      </c>
      <c r="S837">
        <v>832</v>
      </c>
      <c r="T837" s="1" t="s">
        <v>2101</v>
      </c>
    </row>
    <row r="838" spans="1:20" x14ac:dyDescent="0.3">
      <c r="A838" s="1" t="s">
        <v>2102</v>
      </c>
      <c r="B838" s="1" t="s">
        <v>1282</v>
      </c>
      <c r="C838">
        <v>69</v>
      </c>
      <c r="D838" s="1" t="s">
        <v>12</v>
      </c>
      <c r="E838" s="1" t="s">
        <v>27</v>
      </c>
      <c r="F838" s="1" t="s">
        <v>124</v>
      </c>
      <c r="G838" s="1" t="s">
        <v>85</v>
      </c>
      <c r="H838" s="1" t="s">
        <v>165</v>
      </c>
      <c r="I838">
        <v>522</v>
      </c>
      <c r="J838">
        <v>1478</v>
      </c>
      <c r="K838">
        <v>3535</v>
      </c>
      <c r="L838">
        <v>14482</v>
      </c>
      <c r="M838">
        <v>20017</v>
      </c>
      <c r="N838" s="2">
        <v>45761</v>
      </c>
      <c r="O838" s="2">
        <v>45702</v>
      </c>
      <c r="P838" s="1" t="s">
        <v>110</v>
      </c>
      <c r="Q838" s="1" t="s">
        <v>31</v>
      </c>
      <c r="R838" s="1" t="s">
        <v>87</v>
      </c>
      <c r="S838">
        <v>136</v>
      </c>
      <c r="T838" s="1" t="s">
        <v>2103</v>
      </c>
    </row>
    <row r="839" spans="1:20" x14ac:dyDescent="0.3">
      <c r="A839" s="1" t="s">
        <v>2104</v>
      </c>
      <c r="B839" s="1" t="s">
        <v>11</v>
      </c>
      <c r="C839">
        <v>15</v>
      </c>
      <c r="D839" s="1" t="s">
        <v>23</v>
      </c>
      <c r="E839" s="1" t="s">
        <v>20</v>
      </c>
      <c r="F839" s="1" t="s">
        <v>103</v>
      </c>
      <c r="G839" s="1" t="s">
        <v>125</v>
      </c>
      <c r="H839" s="1" t="s">
        <v>155</v>
      </c>
      <c r="I839">
        <v>677</v>
      </c>
      <c r="J839">
        <v>1184</v>
      </c>
      <c r="K839">
        <v>6546</v>
      </c>
      <c r="L839">
        <v>12364</v>
      </c>
      <c r="M839">
        <v>20771</v>
      </c>
      <c r="N839" s="2">
        <v>45692</v>
      </c>
      <c r="O839" s="2">
        <v>45781</v>
      </c>
      <c r="P839" s="1" t="s">
        <v>93</v>
      </c>
      <c r="Q839" s="1" t="s">
        <v>31</v>
      </c>
      <c r="R839" s="1" t="s">
        <v>17</v>
      </c>
      <c r="S839">
        <v>711</v>
      </c>
      <c r="T839" s="1" t="s">
        <v>2105</v>
      </c>
    </row>
    <row r="840" spans="1:20" x14ac:dyDescent="0.3">
      <c r="A840" s="1" t="s">
        <v>2106</v>
      </c>
      <c r="B840" s="1" t="s">
        <v>978</v>
      </c>
      <c r="C840">
        <v>25</v>
      </c>
      <c r="D840" s="1" t="s">
        <v>23</v>
      </c>
      <c r="E840" s="1" t="s">
        <v>27</v>
      </c>
      <c r="F840" s="1" t="s">
        <v>97</v>
      </c>
      <c r="G840" s="1" t="s">
        <v>85</v>
      </c>
      <c r="H840" s="1" t="s">
        <v>29</v>
      </c>
      <c r="I840">
        <v>1464</v>
      </c>
      <c r="J840">
        <v>616</v>
      </c>
      <c r="K840">
        <v>1551</v>
      </c>
      <c r="L840">
        <v>6592</v>
      </c>
      <c r="M840">
        <v>10223</v>
      </c>
      <c r="N840" s="2">
        <v>45786</v>
      </c>
      <c r="O840" s="2">
        <v>45747</v>
      </c>
      <c r="P840" s="1" t="s">
        <v>177</v>
      </c>
      <c r="Q840" s="1" t="s">
        <v>16</v>
      </c>
      <c r="R840" s="1" t="s">
        <v>17</v>
      </c>
      <c r="S840">
        <v>489</v>
      </c>
      <c r="T840" s="1" t="s">
        <v>2107</v>
      </c>
    </row>
    <row r="841" spans="1:20" x14ac:dyDescent="0.3">
      <c r="A841" s="1" t="s">
        <v>2108</v>
      </c>
      <c r="B841" s="1" t="s">
        <v>1873</v>
      </c>
      <c r="C841">
        <v>9</v>
      </c>
      <c r="D841" s="1" t="s">
        <v>23</v>
      </c>
      <c r="E841" s="1" t="s">
        <v>36</v>
      </c>
      <c r="F841" s="1" t="s">
        <v>109</v>
      </c>
      <c r="G841" s="1" t="s">
        <v>98</v>
      </c>
      <c r="H841" s="1" t="s">
        <v>115</v>
      </c>
      <c r="I841">
        <v>987</v>
      </c>
      <c r="J841">
        <v>4095</v>
      </c>
      <c r="K841">
        <v>507</v>
      </c>
      <c r="L841">
        <v>8217</v>
      </c>
      <c r="M841">
        <v>13806</v>
      </c>
      <c r="N841" s="2">
        <v>45693</v>
      </c>
      <c r="O841" s="2">
        <v>45783</v>
      </c>
      <c r="P841" s="1" t="s">
        <v>136</v>
      </c>
      <c r="Q841" s="1" t="s">
        <v>31</v>
      </c>
      <c r="R841" s="1" t="s">
        <v>22</v>
      </c>
      <c r="S841">
        <v>660</v>
      </c>
      <c r="T841" s="1" t="s">
        <v>2109</v>
      </c>
    </row>
    <row r="842" spans="1:20" x14ac:dyDescent="0.3">
      <c r="A842" s="1" t="s">
        <v>2110</v>
      </c>
      <c r="B842" s="1" t="s">
        <v>2111</v>
      </c>
      <c r="C842">
        <v>9</v>
      </c>
      <c r="D842" s="1" t="s">
        <v>12</v>
      </c>
      <c r="E842" s="1" t="s">
        <v>33</v>
      </c>
      <c r="F842" s="1" t="s">
        <v>103</v>
      </c>
      <c r="G842" s="1" t="s">
        <v>125</v>
      </c>
      <c r="H842" s="1" t="s">
        <v>145</v>
      </c>
      <c r="I842">
        <v>958</v>
      </c>
      <c r="J842">
        <v>3534</v>
      </c>
      <c r="K842">
        <v>614</v>
      </c>
      <c r="L842">
        <v>3350</v>
      </c>
      <c r="M842">
        <v>8456</v>
      </c>
      <c r="N842" s="2">
        <v>45711</v>
      </c>
      <c r="O842" s="2">
        <v>46008</v>
      </c>
      <c r="P842" s="1" t="s">
        <v>19</v>
      </c>
      <c r="Q842" s="1" t="s">
        <v>16</v>
      </c>
      <c r="R842" s="1" t="s">
        <v>87</v>
      </c>
      <c r="S842">
        <v>159</v>
      </c>
      <c r="T842" s="1" t="s">
        <v>2112</v>
      </c>
    </row>
    <row r="843" spans="1:20" x14ac:dyDescent="0.3">
      <c r="A843" s="1" t="s">
        <v>2113</v>
      </c>
      <c r="B843" s="1" t="s">
        <v>286</v>
      </c>
      <c r="C843">
        <v>16</v>
      </c>
      <c r="D843" s="1" t="s">
        <v>23</v>
      </c>
      <c r="E843" s="1" t="s">
        <v>38</v>
      </c>
      <c r="F843" s="1" t="s">
        <v>103</v>
      </c>
      <c r="G843" s="1" t="s">
        <v>125</v>
      </c>
      <c r="H843" s="1" t="s">
        <v>37</v>
      </c>
      <c r="I843">
        <v>340</v>
      </c>
      <c r="J843">
        <v>4402</v>
      </c>
      <c r="K843">
        <v>7977</v>
      </c>
      <c r="L843">
        <v>10363</v>
      </c>
      <c r="M843">
        <v>23082</v>
      </c>
      <c r="N843" s="2">
        <v>45988</v>
      </c>
      <c r="O843" s="2">
        <v>45855</v>
      </c>
      <c r="P843" s="1" t="s">
        <v>14</v>
      </c>
      <c r="Q843" s="1" t="s">
        <v>31</v>
      </c>
      <c r="R843" s="1" t="s">
        <v>87</v>
      </c>
      <c r="S843">
        <v>602</v>
      </c>
      <c r="T843" s="1" t="s">
        <v>2114</v>
      </c>
    </row>
    <row r="844" spans="1:20" x14ac:dyDescent="0.3">
      <c r="A844" s="1" t="s">
        <v>2115</v>
      </c>
      <c r="B844" s="1" t="s">
        <v>426</v>
      </c>
      <c r="C844">
        <v>82</v>
      </c>
      <c r="D844" s="1" t="s">
        <v>12</v>
      </c>
      <c r="E844" s="1" t="s">
        <v>15</v>
      </c>
      <c r="F844" s="1" t="s">
        <v>135</v>
      </c>
      <c r="G844" s="1" t="s">
        <v>125</v>
      </c>
      <c r="H844" s="1" t="s">
        <v>86</v>
      </c>
      <c r="I844">
        <v>1230</v>
      </c>
      <c r="J844">
        <v>4894</v>
      </c>
      <c r="K844">
        <v>7504</v>
      </c>
      <c r="L844">
        <v>6900</v>
      </c>
      <c r="M844">
        <v>20528</v>
      </c>
      <c r="N844" s="2">
        <v>45772</v>
      </c>
      <c r="O844" s="2">
        <v>45731</v>
      </c>
      <c r="P844" s="1" t="s">
        <v>14</v>
      </c>
      <c r="Q844" s="1" t="s">
        <v>21</v>
      </c>
      <c r="R844" s="1" t="s">
        <v>22</v>
      </c>
      <c r="S844">
        <v>476</v>
      </c>
      <c r="T844" s="1" t="s">
        <v>2116</v>
      </c>
    </row>
    <row r="845" spans="1:20" x14ac:dyDescent="0.3">
      <c r="A845" s="1" t="s">
        <v>2117</v>
      </c>
      <c r="B845" s="1" t="s">
        <v>1718</v>
      </c>
      <c r="C845">
        <v>39</v>
      </c>
      <c r="D845" s="1" t="s">
        <v>23</v>
      </c>
      <c r="E845" s="1" t="s">
        <v>40</v>
      </c>
      <c r="F845" s="1" t="s">
        <v>103</v>
      </c>
      <c r="G845" s="1" t="s">
        <v>125</v>
      </c>
      <c r="H845" s="1" t="s">
        <v>92</v>
      </c>
      <c r="I845">
        <v>1140</v>
      </c>
      <c r="J845">
        <v>4935</v>
      </c>
      <c r="K845">
        <v>7276</v>
      </c>
      <c r="L845">
        <v>4718</v>
      </c>
      <c r="M845">
        <v>18069</v>
      </c>
      <c r="N845" s="2">
        <v>45863</v>
      </c>
      <c r="O845" s="2">
        <v>45722</v>
      </c>
      <c r="P845" s="1" t="s">
        <v>177</v>
      </c>
      <c r="Q845" s="1" t="s">
        <v>9</v>
      </c>
      <c r="R845" s="1" t="s">
        <v>17</v>
      </c>
      <c r="S845">
        <v>571</v>
      </c>
      <c r="T845" s="1" t="s">
        <v>2118</v>
      </c>
    </row>
    <row r="846" spans="1:20" x14ac:dyDescent="0.3">
      <c r="A846" s="1" t="s">
        <v>2119</v>
      </c>
      <c r="B846" s="1" t="s">
        <v>853</v>
      </c>
      <c r="C846">
        <v>50</v>
      </c>
      <c r="D846" s="1" t="s">
        <v>12</v>
      </c>
      <c r="E846" s="1" t="s">
        <v>40</v>
      </c>
      <c r="F846" s="1" t="s">
        <v>97</v>
      </c>
      <c r="G846" s="1" t="s">
        <v>104</v>
      </c>
      <c r="H846" s="1" t="s">
        <v>186</v>
      </c>
      <c r="I846">
        <v>967</v>
      </c>
      <c r="J846">
        <v>3767</v>
      </c>
      <c r="K846">
        <v>1390</v>
      </c>
      <c r="L846">
        <v>12850</v>
      </c>
      <c r="M846">
        <v>18974</v>
      </c>
      <c r="N846" s="2">
        <v>45929</v>
      </c>
      <c r="O846" s="2">
        <v>45763</v>
      </c>
      <c r="P846" s="1" t="s">
        <v>19</v>
      </c>
      <c r="Q846" s="1" t="s">
        <v>31</v>
      </c>
      <c r="R846" s="1" t="s">
        <v>87</v>
      </c>
      <c r="S846">
        <v>299</v>
      </c>
      <c r="T846" s="1" t="s">
        <v>2120</v>
      </c>
    </row>
    <row r="847" spans="1:20" x14ac:dyDescent="0.3">
      <c r="A847" s="1" t="s">
        <v>2121</v>
      </c>
      <c r="B847" s="1" t="s">
        <v>1770</v>
      </c>
      <c r="C847">
        <v>60</v>
      </c>
      <c r="D847" s="1" t="s">
        <v>12</v>
      </c>
      <c r="E847" s="1" t="s">
        <v>36</v>
      </c>
      <c r="F847" s="1" t="s">
        <v>97</v>
      </c>
      <c r="G847" s="1" t="s">
        <v>176</v>
      </c>
      <c r="H847" s="1" t="s">
        <v>26</v>
      </c>
      <c r="I847">
        <v>737</v>
      </c>
      <c r="J847">
        <v>3718</v>
      </c>
      <c r="K847">
        <v>1457</v>
      </c>
      <c r="L847">
        <v>8704</v>
      </c>
      <c r="M847">
        <v>14616</v>
      </c>
      <c r="N847" s="2">
        <v>45713</v>
      </c>
      <c r="O847" s="2">
        <v>45935</v>
      </c>
      <c r="P847" s="1" t="s">
        <v>116</v>
      </c>
      <c r="Q847" s="1" t="s">
        <v>9</v>
      </c>
      <c r="R847" s="1" t="s">
        <v>22</v>
      </c>
      <c r="S847">
        <v>304</v>
      </c>
      <c r="T847" s="1" t="s">
        <v>2122</v>
      </c>
    </row>
    <row r="848" spans="1:20" x14ac:dyDescent="0.3">
      <c r="A848" s="1" t="s">
        <v>2123</v>
      </c>
      <c r="B848" s="1" t="s">
        <v>750</v>
      </c>
      <c r="C848">
        <v>21</v>
      </c>
      <c r="D848" s="1" t="s">
        <v>12</v>
      </c>
      <c r="E848" s="1" t="s">
        <v>36</v>
      </c>
      <c r="F848" s="1" t="s">
        <v>120</v>
      </c>
      <c r="G848" s="1" t="s">
        <v>104</v>
      </c>
      <c r="H848" s="1" t="s">
        <v>145</v>
      </c>
      <c r="I848">
        <v>1207</v>
      </c>
      <c r="J848">
        <v>695</v>
      </c>
      <c r="K848">
        <v>5984</v>
      </c>
      <c r="L848">
        <v>4382</v>
      </c>
      <c r="M848">
        <v>12268</v>
      </c>
      <c r="N848" s="2">
        <v>45855</v>
      </c>
      <c r="O848" s="2">
        <v>45948</v>
      </c>
      <c r="P848" s="1" t="s">
        <v>25</v>
      </c>
      <c r="Q848" s="1" t="s">
        <v>31</v>
      </c>
      <c r="R848" s="1" t="s">
        <v>87</v>
      </c>
      <c r="S848">
        <v>511</v>
      </c>
      <c r="T848" s="1" t="s">
        <v>2124</v>
      </c>
    </row>
    <row r="849" spans="1:20" x14ac:dyDescent="0.3">
      <c r="A849" s="1" t="s">
        <v>2125</v>
      </c>
      <c r="B849" s="1" t="s">
        <v>1459</v>
      </c>
      <c r="C849">
        <v>53</v>
      </c>
      <c r="D849" s="1" t="s">
        <v>12</v>
      </c>
      <c r="E849" s="1" t="s">
        <v>24</v>
      </c>
      <c r="F849" s="1" t="s">
        <v>135</v>
      </c>
      <c r="G849" s="1" t="s">
        <v>176</v>
      </c>
      <c r="H849" s="1" t="s">
        <v>105</v>
      </c>
      <c r="I849">
        <v>567</v>
      </c>
      <c r="J849">
        <v>4486</v>
      </c>
      <c r="K849">
        <v>2890</v>
      </c>
      <c r="L849">
        <v>11000</v>
      </c>
      <c r="M849">
        <v>18943</v>
      </c>
      <c r="N849" s="2">
        <v>45971</v>
      </c>
      <c r="O849" s="2">
        <v>45929</v>
      </c>
      <c r="P849" s="1" t="s">
        <v>34</v>
      </c>
      <c r="Q849" s="1" t="s">
        <v>16</v>
      </c>
      <c r="R849" s="1" t="s">
        <v>22</v>
      </c>
      <c r="S849">
        <v>121</v>
      </c>
      <c r="T849" s="1" t="s">
        <v>2126</v>
      </c>
    </row>
    <row r="850" spans="1:20" x14ac:dyDescent="0.3">
      <c r="A850" s="1" t="s">
        <v>2127</v>
      </c>
      <c r="B850" s="1" t="s">
        <v>113</v>
      </c>
      <c r="C850">
        <v>12</v>
      </c>
      <c r="D850" s="1" t="s">
        <v>12</v>
      </c>
      <c r="E850" s="1" t="s">
        <v>20</v>
      </c>
      <c r="F850" s="1" t="s">
        <v>97</v>
      </c>
      <c r="G850" s="1" t="s">
        <v>98</v>
      </c>
      <c r="H850" s="1" t="s">
        <v>115</v>
      </c>
      <c r="I850">
        <v>608</v>
      </c>
      <c r="J850">
        <v>2244</v>
      </c>
      <c r="K850">
        <v>2819</v>
      </c>
      <c r="L850">
        <v>14773</v>
      </c>
      <c r="M850">
        <v>20444</v>
      </c>
      <c r="N850" s="2">
        <v>45691</v>
      </c>
      <c r="O850" s="2">
        <v>45843</v>
      </c>
      <c r="P850" s="1" t="s">
        <v>136</v>
      </c>
      <c r="Q850" s="1" t="s">
        <v>9</v>
      </c>
      <c r="R850" s="1" t="s">
        <v>17</v>
      </c>
      <c r="S850">
        <v>446</v>
      </c>
      <c r="T850" s="1" t="s">
        <v>2128</v>
      </c>
    </row>
    <row r="851" spans="1:20" x14ac:dyDescent="0.3">
      <c r="A851" s="1" t="s">
        <v>2129</v>
      </c>
      <c r="B851" s="1" t="s">
        <v>766</v>
      </c>
      <c r="C851">
        <v>39</v>
      </c>
      <c r="D851" s="1" t="s">
        <v>23</v>
      </c>
      <c r="E851" s="1" t="s">
        <v>27</v>
      </c>
      <c r="F851" s="1" t="s">
        <v>109</v>
      </c>
      <c r="G851" s="1" t="s">
        <v>104</v>
      </c>
      <c r="H851" s="1" t="s">
        <v>86</v>
      </c>
      <c r="I851">
        <v>634</v>
      </c>
      <c r="J851">
        <v>3901</v>
      </c>
      <c r="K851">
        <v>1270</v>
      </c>
      <c r="L851">
        <v>9721</v>
      </c>
      <c r="M851">
        <v>15526</v>
      </c>
      <c r="N851" s="2">
        <v>45974</v>
      </c>
      <c r="O851" s="2">
        <v>45867</v>
      </c>
      <c r="P851" s="1" t="s">
        <v>25</v>
      </c>
      <c r="Q851" s="1" t="s">
        <v>21</v>
      </c>
      <c r="R851" s="1" t="s">
        <v>87</v>
      </c>
      <c r="S851">
        <v>968</v>
      </c>
      <c r="T851" s="1" t="s">
        <v>2130</v>
      </c>
    </row>
    <row r="852" spans="1:20" x14ac:dyDescent="0.3">
      <c r="A852" s="1" t="s">
        <v>2131</v>
      </c>
      <c r="B852" s="1" t="s">
        <v>264</v>
      </c>
      <c r="C852">
        <v>85</v>
      </c>
      <c r="D852" s="1" t="s">
        <v>23</v>
      </c>
      <c r="E852" s="1" t="s">
        <v>15</v>
      </c>
      <c r="F852" s="1" t="s">
        <v>135</v>
      </c>
      <c r="G852" s="1" t="s">
        <v>176</v>
      </c>
      <c r="H852" s="1" t="s">
        <v>13</v>
      </c>
      <c r="I852">
        <v>380</v>
      </c>
      <c r="J852">
        <v>1610</v>
      </c>
      <c r="K852">
        <v>7510</v>
      </c>
      <c r="L852">
        <v>7241</v>
      </c>
      <c r="M852">
        <v>16741</v>
      </c>
      <c r="N852" s="2">
        <v>45900</v>
      </c>
      <c r="O852" s="2">
        <v>45852</v>
      </c>
      <c r="P852" s="1" t="s">
        <v>116</v>
      </c>
      <c r="Q852" s="1" t="s">
        <v>16</v>
      </c>
      <c r="R852" s="1" t="s">
        <v>87</v>
      </c>
      <c r="S852">
        <v>804</v>
      </c>
      <c r="T852" s="1" t="s">
        <v>2132</v>
      </c>
    </row>
    <row r="853" spans="1:20" x14ac:dyDescent="0.3">
      <c r="A853" s="1" t="s">
        <v>2133</v>
      </c>
      <c r="B853" s="1" t="s">
        <v>2134</v>
      </c>
      <c r="C853">
        <v>75</v>
      </c>
      <c r="D853" s="1" t="s">
        <v>23</v>
      </c>
      <c r="E853" s="1" t="s">
        <v>15</v>
      </c>
      <c r="F853" s="1" t="s">
        <v>135</v>
      </c>
      <c r="G853" s="1" t="s">
        <v>85</v>
      </c>
      <c r="H853" s="1" t="s">
        <v>18</v>
      </c>
      <c r="I853">
        <v>1307</v>
      </c>
      <c r="J853">
        <v>3316</v>
      </c>
      <c r="K853">
        <v>7554</v>
      </c>
      <c r="L853">
        <v>6566</v>
      </c>
      <c r="M853">
        <v>18743</v>
      </c>
      <c r="N853" s="2">
        <v>45701</v>
      </c>
      <c r="O853" s="2">
        <v>45847</v>
      </c>
      <c r="P853" s="1" t="s">
        <v>35</v>
      </c>
      <c r="Q853" s="1" t="s">
        <v>21</v>
      </c>
      <c r="R853" s="1" t="s">
        <v>87</v>
      </c>
      <c r="S853">
        <v>503</v>
      </c>
      <c r="T853" s="1" t="s">
        <v>2135</v>
      </c>
    </row>
    <row r="854" spans="1:20" x14ac:dyDescent="0.3">
      <c r="A854" s="1" t="s">
        <v>2136</v>
      </c>
      <c r="B854" s="1" t="s">
        <v>1257</v>
      </c>
      <c r="C854">
        <v>26</v>
      </c>
      <c r="D854" s="1" t="s">
        <v>12</v>
      </c>
      <c r="E854" s="1" t="s">
        <v>20</v>
      </c>
      <c r="F854" s="1" t="s">
        <v>124</v>
      </c>
      <c r="G854" s="1" t="s">
        <v>176</v>
      </c>
      <c r="H854" s="1" t="s">
        <v>37</v>
      </c>
      <c r="I854">
        <v>1026</v>
      </c>
      <c r="J854">
        <v>4552</v>
      </c>
      <c r="K854">
        <v>430</v>
      </c>
      <c r="L854">
        <v>11188</v>
      </c>
      <c r="M854">
        <v>17196</v>
      </c>
      <c r="N854" s="2">
        <v>45960</v>
      </c>
      <c r="O854" s="2">
        <v>45871</v>
      </c>
      <c r="P854" s="1" t="s">
        <v>25</v>
      </c>
      <c r="Q854" s="1" t="s">
        <v>21</v>
      </c>
      <c r="R854" s="1" t="s">
        <v>22</v>
      </c>
      <c r="S854">
        <v>625</v>
      </c>
      <c r="T854" s="1" t="s">
        <v>2137</v>
      </c>
    </row>
    <row r="855" spans="1:20" x14ac:dyDescent="0.3">
      <c r="A855" s="1" t="s">
        <v>2138</v>
      </c>
      <c r="B855" s="1" t="s">
        <v>1418</v>
      </c>
      <c r="C855">
        <v>63</v>
      </c>
      <c r="D855" s="1" t="s">
        <v>12</v>
      </c>
      <c r="E855" s="1" t="s">
        <v>36</v>
      </c>
      <c r="F855" s="1" t="s">
        <v>109</v>
      </c>
      <c r="G855" s="1" t="s">
        <v>104</v>
      </c>
      <c r="H855" s="1" t="s">
        <v>29</v>
      </c>
      <c r="I855">
        <v>789</v>
      </c>
      <c r="J855">
        <v>3011</v>
      </c>
      <c r="K855">
        <v>2455</v>
      </c>
      <c r="L855">
        <v>8355</v>
      </c>
      <c r="M855">
        <v>14610</v>
      </c>
      <c r="N855" s="2">
        <v>45879</v>
      </c>
      <c r="O855" s="2">
        <v>45830</v>
      </c>
      <c r="P855" s="1" t="s">
        <v>34</v>
      </c>
      <c r="Q855" s="1" t="s">
        <v>9</v>
      </c>
      <c r="R855" s="1" t="s">
        <v>87</v>
      </c>
      <c r="S855">
        <v>182</v>
      </c>
      <c r="T855" s="1" t="s">
        <v>2139</v>
      </c>
    </row>
    <row r="856" spans="1:20" x14ac:dyDescent="0.3">
      <c r="A856" s="1" t="s">
        <v>2140</v>
      </c>
      <c r="B856" s="1" t="s">
        <v>1380</v>
      </c>
      <c r="C856">
        <v>17</v>
      </c>
      <c r="D856" s="1" t="s">
        <v>23</v>
      </c>
      <c r="E856" s="1" t="s">
        <v>36</v>
      </c>
      <c r="F856" s="1" t="s">
        <v>103</v>
      </c>
      <c r="G856" s="1" t="s">
        <v>104</v>
      </c>
      <c r="H856" s="1" t="s">
        <v>26</v>
      </c>
      <c r="I856">
        <v>1079</v>
      </c>
      <c r="J856">
        <v>2135</v>
      </c>
      <c r="K856">
        <v>7709</v>
      </c>
      <c r="L856">
        <v>8702</v>
      </c>
      <c r="M856">
        <v>19625</v>
      </c>
      <c r="N856" s="2">
        <v>45852</v>
      </c>
      <c r="O856" s="2">
        <v>45856</v>
      </c>
      <c r="P856" s="1" t="s">
        <v>34</v>
      </c>
      <c r="Q856" s="1" t="s">
        <v>9</v>
      </c>
      <c r="R856" s="1" t="s">
        <v>17</v>
      </c>
      <c r="S856">
        <v>475</v>
      </c>
      <c r="T856" s="1" t="s">
        <v>2141</v>
      </c>
    </row>
    <row r="857" spans="1:20" x14ac:dyDescent="0.3">
      <c r="A857" s="1" t="s">
        <v>2142</v>
      </c>
      <c r="B857" s="1" t="s">
        <v>945</v>
      </c>
      <c r="C857">
        <v>53</v>
      </c>
      <c r="D857" s="1" t="s">
        <v>12</v>
      </c>
      <c r="E857" s="1" t="s">
        <v>24</v>
      </c>
      <c r="F857" s="1" t="s">
        <v>109</v>
      </c>
      <c r="G857" s="1" t="s">
        <v>176</v>
      </c>
      <c r="H857" s="1" t="s">
        <v>99</v>
      </c>
      <c r="I857">
        <v>835</v>
      </c>
      <c r="J857">
        <v>2080</v>
      </c>
      <c r="K857">
        <v>4304</v>
      </c>
      <c r="L857">
        <v>5614</v>
      </c>
      <c r="M857">
        <v>12833</v>
      </c>
      <c r="N857" s="2">
        <v>45794</v>
      </c>
      <c r="O857" s="2">
        <v>45700</v>
      </c>
      <c r="P857" s="1" t="s">
        <v>116</v>
      </c>
      <c r="Q857" s="1" t="s">
        <v>21</v>
      </c>
      <c r="R857" s="1" t="s">
        <v>87</v>
      </c>
      <c r="S857">
        <v>216</v>
      </c>
      <c r="T857" s="1" t="s">
        <v>2143</v>
      </c>
    </row>
    <row r="858" spans="1:20" x14ac:dyDescent="0.3">
      <c r="A858" s="1" t="s">
        <v>2144</v>
      </c>
      <c r="B858" s="1" t="s">
        <v>1257</v>
      </c>
      <c r="C858">
        <v>32</v>
      </c>
      <c r="D858" s="1" t="s">
        <v>23</v>
      </c>
      <c r="E858" s="1" t="s">
        <v>33</v>
      </c>
      <c r="F858" s="1" t="s">
        <v>109</v>
      </c>
      <c r="G858" s="1" t="s">
        <v>104</v>
      </c>
      <c r="H858" s="1" t="s">
        <v>99</v>
      </c>
      <c r="I858">
        <v>433</v>
      </c>
      <c r="J858">
        <v>1761</v>
      </c>
      <c r="K858">
        <v>4985</v>
      </c>
      <c r="L858">
        <v>14131</v>
      </c>
      <c r="M858">
        <v>21310</v>
      </c>
      <c r="N858" s="2">
        <v>45779</v>
      </c>
      <c r="O858" s="2">
        <v>45702</v>
      </c>
      <c r="P858" s="1" t="s">
        <v>35</v>
      </c>
      <c r="Q858" s="1" t="s">
        <v>16</v>
      </c>
      <c r="R858" s="1" t="s">
        <v>87</v>
      </c>
      <c r="S858">
        <v>926</v>
      </c>
      <c r="T858" s="1" t="s">
        <v>2145</v>
      </c>
    </row>
    <row r="859" spans="1:20" x14ac:dyDescent="0.3">
      <c r="A859" s="1" t="s">
        <v>2146</v>
      </c>
      <c r="B859" s="1" t="s">
        <v>466</v>
      </c>
      <c r="C859">
        <v>20</v>
      </c>
      <c r="D859" s="1" t="s">
        <v>12</v>
      </c>
      <c r="E859" s="1" t="s">
        <v>24</v>
      </c>
      <c r="F859" s="1" t="s">
        <v>97</v>
      </c>
      <c r="G859" s="1" t="s">
        <v>104</v>
      </c>
      <c r="H859" s="1" t="s">
        <v>13</v>
      </c>
      <c r="I859">
        <v>549</v>
      </c>
      <c r="J859">
        <v>960</v>
      </c>
      <c r="K859">
        <v>6068</v>
      </c>
      <c r="L859">
        <v>3272</v>
      </c>
      <c r="M859">
        <v>10849</v>
      </c>
      <c r="N859" s="2">
        <v>45760</v>
      </c>
      <c r="O859" s="2">
        <v>45699</v>
      </c>
      <c r="P859" s="1" t="s">
        <v>25</v>
      </c>
      <c r="Q859" s="1" t="s">
        <v>16</v>
      </c>
      <c r="R859" s="1" t="s">
        <v>22</v>
      </c>
      <c r="S859">
        <v>543</v>
      </c>
      <c r="T859" s="1" t="s">
        <v>2147</v>
      </c>
    </row>
    <row r="860" spans="1:20" x14ac:dyDescent="0.3">
      <c r="A860" s="1" t="s">
        <v>2148</v>
      </c>
      <c r="B860" s="1" t="s">
        <v>1907</v>
      </c>
      <c r="C860">
        <v>7</v>
      </c>
      <c r="D860" s="1" t="s">
        <v>23</v>
      </c>
      <c r="E860" s="1" t="s">
        <v>15</v>
      </c>
      <c r="F860" s="1" t="s">
        <v>120</v>
      </c>
      <c r="G860" s="1" t="s">
        <v>125</v>
      </c>
      <c r="H860" s="1" t="s">
        <v>186</v>
      </c>
      <c r="I860">
        <v>1384</v>
      </c>
      <c r="J860">
        <v>2078</v>
      </c>
      <c r="K860">
        <v>4199</v>
      </c>
      <c r="L860">
        <v>14394</v>
      </c>
      <c r="M860">
        <v>22055</v>
      </c>
      <c r="N860" s="2">
        <v>45759</v>
      </c>
      <c r="O860" s="2">
        <v>46020</v>
      </c>
      <c r="P860" s="1" t="s">
        <v>116</v>
      </c>
      <c r="Q860" s="1" t="s">
        <v>21</v>
      </c>
      <c r="R860" s="1" t="s">
        <v>87</v>
      </c>
      <c r="S860">
        <v>792</v>
      </c>
      <c r="T860" s="1" t="s">
        <v>2149</v>
      </c>
    </row>
    <row r="861" spans="1:20" x14ac:dyDescent="0.3">
      <c r="A861" s="1" t="s">
        <v>2150</v>
      </c>
      <c r="B861" s="1" t="s">
        <v>2151</v>
      </c>
      <c r="C861">
        <v>24</v>
      </c>
      <c r="D861" s="1" t="s">
        <v>23</v>
      </c>
      <c r="E861" s="1" t="s">
        <v>24</v>
      </c>
      <c r="F861" s="1" t="s">
        <v>114</v>
      </c>
      <c r="G861" s="1" t="s">
        <v>85</v>
      </c>
      <c r="H861" s="1" t="s">
        <v>145</v>
      </c>
      <c r="I861">
        <v>704</v>
      </c>
      <c r="J861">
        <v>2656</v>
      </c>
      <c r="K861">
        <v>1478</v>
      </c>
      <c r="L861">
        <v>9880</v>
      </c>
      <c r="M861">
        <v>14718</v>
      </c>
      <c r="N861" s="2">
        <v>45952</v>
      </c>
      <c r="O861" s="2">
        <v>45754</v>
      </c>
      <c r="P861" s="1" t="s">
        <v>35</v>
      </c>
      <c r="Q861" s="1" t="s">
        <v>31</v>
      </c>
      <c r="R861" s="1" t="s">
        <v>17</v>
      </c>
      <c r="S861">
        <v>874</v>
      </c>
      <c r="T861" s="1" t="s">
        <v>2152</v>
      </c>
    </row>
    <row r="862" spans="1:20" x14ac:dyDescent="0.3">
      <c r="A862" s="1" t="s">
        <v>2153</v>
      </c>
      <c r="B862" s="1" t="s">
        <v>971</v>
      </c>
      <c r="C862">
        <v>82</v>
      </c>
      <c r="D862" s="1" t="s">
        <v>12</v>
      </c>
      <c r="E862" s="1" t="s">
        <v>33</v>
      </c>
      <c r="F862" s="1" t="s">
        <v>120</v>
      </c>
      <c r="G862" s="1" t="s">
        <v>104</v>
      </c>
      <c r="H862" s="1" t="s">
        <v>26</v>
      </c>
      <c r="I862">
        <v>746</v>
      </c>
      <c r="J862">
        <v>3994</v>
      </c>
      <c r="K862">
        <v>2355</v>
      </c>
      <c r="L862">
        <v>14508</v>
      </c>
      <c r="M862">
        <v>21603</v>
      </c>
      <c r="N862" s="2">
        <v>45834</v>
      </c>
      <c r="O862" s="2">
        <v>45781</v>
      </c>
      <c r="P862" s="1" t="s">
        <v>110</v>
      </c>
      <c r="Q862" s="1" t="s">
        <v>21</v>
      </c>
      <c r="R862" s="1" t="s">
        <v>17</v>
      </c>
      <c r="S862">
        <v>872</v>
      </c>
      <c r="T862" s="1" t="s">
        <v>2154</v>
      </c>
    </row>
    <row r="863" spans="1:20" x14ac:dyDescent="0.3">
      <c r="A863" s="1" t="s">
        <v>2155</v>
      </c>
      <c r="B863" s="1" t="s">
        <v>502</v>
      </c>
      <c r="C863">
        <v>9</v>
      </c>
      <c r="D863" s="1" t="s">
        <v>12</v>
      </c>
      <c r="E863" s="1" t="s">
        <v>20</v>
      </c>
      <c r="F863" s="1" t="s">
        <v>97</v>
      </c>
      <c r="G863" s="1" t="s">
        <v>98</v>
      </c>
      <c r="H863" s="1" t="s">
        <v>29</v>
      </c>
      <c r="I863">
        <v>1180</v>
      </c>
      <c r="J863">
        <v>1154</v>
      </c>
      <c r="K863">
        <v>5821</v>
      </c>
      <c r="L863">
        <v>13524</v>
      </c>
      <c r="M863">
        <v>21679</v>
      </c>
      <c r="N863" s="2">
        <v>45886</v>
      </c>
      <c r="O863" s="2">
        <v>45664</v>
      </c>
      <c r="P863" s="1" t="s">
        <v>35</v>
      </c>
      <c r="Q863" s="1" t="s">
        <v>21</v>
      </c>
      <c r="R863" s="1" t="s">
        <v>87</v>
      </c>
      <c r="S863">
        <v>797</v>
      </c>
      <c r="T863" s="1" t="s">
        <v>2156</v>
      </c>
    </row>
    <row r="864" spans="1:20" x14ac:dyDescent="0.3">
      <c r="A864" s="1" t="s">
        <v>2157</v>
      </c>
      <c r="B864" s="1" t="s">
        <v>1078</v>
      </c>
      <c r="C864">
        <v>34</v>
      </c>
      <c r="D864" s="1" t="s">
        <v>12</v>
      </c>
      <c r="E864" s="1" t="s">
        <v>40</v>
      </c>
      <c r="F864" s="1" t="s">
        <v>135</v>
      </c>
      <c r="G864" s="1" t="s">
        <v>85</v>
      </c>
      <c r="H864" s="1" t="s">
        <v>99</v>
      </c>
      <c r="I864">
        <v>1283</v>
      </c>
      <c r="J864">
        <v>3534</v>
      </c>
      <c r="K864">
        <v>4393</v>
      </c>
      <c r="L864">
        <v>5919</v>
      </c>
      <c r="M864">
        <v>15129</v>
      </c>
      <c r="N864" s="2">
        <v>45908</v>
      </c>
      <c r="O864" s="2">
        <v>45818</v>
      </c>
      <c r="P864" s="1" t="s">
        <v>110</v>
      </c>
      <c r="Q864" s="1" t="s">
        <v>31</v>
      </c>
      <c r="R864" s="1" t="s">
        <v>22</v>
      </c>
      <c r="S864">
        <v>807</v>
      </c>
      <c r="T864" s="1" t="s">
        <v>2158</v>
      </c>
    </row>
    <row r="865" spans="1:20" x14ac:dyDescent="0.3">
      <c r="A865" s="1" t="s">
        <v>2159</v>
      </c>
      <c r="B865" s="1" t="s">
        <v>1320</v>
      </c>
      <c r="C865">
        <v>60</v>
      </c>
      <c r="D865" s="1" t="s">
        <v>12</v>
      </c>
      <c r="E865" s="1" t="s">
        <v>15</v>
      </c>
      <c r="F865" s="1" t="s">
        <v>120</v>
      </c>
      <c r="G865" s="1" t="s">
        <v>176</v>
      </c>
      <c r="H865" s="1" t="s">
        <v>92</v>
      </c>
      <c r="I865">
        <v>1251</v>
      </c>
      <c r="J865">
        <v>4204</v>
      </c>
      <c r="K865">
        <v>1550</v>
      </c>
      <c r="L865">
        <v>3327</v>
      </c>
      <c r="M865">
        <v>10332</v>
      </c>
      <c r="N865" s="2">
        <v>45855</v>
      </c>
      <c r="O865" s="2">
        <v>45872</v>
      </c>
      <c r="P865" s="1" t="s">
        <v>34</v>
      </c>
      <c r="Q865" s="1" t="s">
        <v>21</v>
      </c>
      <c r="R865" s="1" t="s">
        <v>17</v>
      </c>
      <c r="S865">
        <v>991</v>
      </c>
      <c r="T865" s="1" t="s">
        <v>2160</v>
      </c>
    </row>
    <row r="866" spans="1:20" x14ac:dyDescent="0.3">
      <c r="A866" s="1" t="s">
        <v>2161</v>
      </c>
      <c r="B866" s="1" t="s">
        <v>1501</v>
      </c>
      <c r="C866">
        <v>47</v>
      </c>
      <c r="D866" s="1" t="s">
        <v>23</v>
      </c>
      <c r="E866" s="1" t="s">
        <v>15</v>
      </c>
      <c r="F866" s="1" t="s">
        <v>120</v>
      </c>
      <c r="G866" s="1" t="s">
        <v>91</v>
      </c>
      <c r="H866" s="1" t="s">
        <v>145</v>
      </c>
      <c r="I866">
        <v>609</v>
      </c>
      <c r="J866">
        <v>2006</v>
      </c>
      <c r="K866">
        <v>2077</v>
      </c>
      <c r="L866">
        <v>2553</v>
      </c>
      <c r="M866">
        <v>7245</v>
      </c>
      <c r="N866" s="2">
        <v>45666</v>
      </c>
      <c r="O866" s="2">
        <v>45858</v>
      </c>
      <c r="P866" s="1" t="s">
        <v>116</v>
      </c>
      <c r="Q866" s="1" t="s">
        <v>21</v>
      </c>
      <c r="R866" s="1" t="s">
        <v>22</v>
      </c>
      <c r="S866">
        <v>122</v>
      </c>
      <c r="T866" s="1" t="s">
        <v>2162</v>
      </c>
    </row>
    <row r="867" spans="1:20" x14ac:dyDescent="0.3">
      <c r="A867" s="1" t="s">
        <v>2163</v>
      </c>
      <c r="B867" s="1" t="s">
        <v>1434</v>
      </c>
      <c r="C867">
        <v>39</v>
      </c>
      <c r="D867" s="1" t="s">
        <v>12</v>
      </c>
      <c r="E867" s="1" t="s">
        <v>20</v>
      </c>
      <c r="F867" s="1" t="s">
        <v>84</v>
      </c>
      <c r="G867" s="1" t="s">
        <v>158</v>
      </c>
      <c r="H867" s="1" t="s">
        <v>115</v>
      </c>
      <c r="I867">
        <v>1296</v>
      </c>
      <c r="J867">
        <v>4588</v>
      </c>
      <c r="K867">
        <v>3845</v>
      </c>
      <c r="L867">
        <v>8128</v>
      </c>
      <c r="M867">
        <v>17857</v>
      </c>
      <c r="N867" s="2">
        <v>45739</v>
      </c>
      <c r="O867" s="2">
        <v>45907</v>
      </c>
      <c r="P867" s="1" t="s">
        <v>34</v>
      </c>
      <c r="Q867" s="1" t="s">
        <v>16</v>
      </c>
      <c r="R867" s="1" t="s">
        <v>17</v>
      </c>
      <c r="S867">
        <v>822</v>
      </c>
      <c r="T867" s="1" t="s">
        <v>2164</v>
      </c>
    </row>
    <row r="868" spans="1:20" x14ac:dyDescent="0.3">
      <c r="A868" s="1" t="s">
        <v>2165</v>
      </c>
      <c r="B868" s="1" t="s">
        <v>700</v>
      </c>
      <c r="C868">
        <v>19</v>
      </c>
      <c r="D868" s="1" t="s">
        <v>23</v>
      </c>
      <c r="E868" s="1" t="s">
        <v>36</v>
      </c>
      <c r="F868" s="1" t="s">
        <v>135</v>
      </c>
      <c r="G868" s="1" t="s">
        <v>104</v>
      </c>
      <c r="H868" s="1" t="s">
        <v>115</v>
      </c>
      <c r="I868">
        <v>1152</v>
      </c>
      <c r="J868">
        <v>4518</v>
      </c>
      <c r="K868">
        <v>406</v>
      </c>
      <c r="L868">
        <v>6046</v>
      </c>
      <c r="M868">
        <v>12122</v>
      </c>
      <c r="N868" s="2">
        <v>45981</v>
      </c>
      <c r="O868" s="2">
        <v>45739</v>
      </c>
      <c r="P868" s="1" t="s">
        <v>177</v>
      </c>
      <c r="Q868" s="1" t="s">
        <v>9</v>
      </c>
      <c r="R868" s="1" t="s">
        <v>87</v>
      </c>
      <c r="S868">
        <v>224</v>
      </c>
      <c r="T868" s="1" t="s">
        <v>2166</v>
      </c>
    </row>
    <row r="869" spans="1:20" x14ac:dyDescent="0.3">
      <c r="A869" s="1" t="s">
        <v>2167</v>
      </c>
      <c r="B869" s="1" t="s">
        <v>871</v>
      </c>
      <c r="C869">
        <v>37</v>
      </c>
      <c r="D869" s="1" t="s">
        <v>12</v>
      </c>
      <c r="E869" s="1" t="s">
        <v>40</v>
      </c>
      <c r="F869" s="1" t="s">
        <v>97</v>
      </c>
      <c r="G869" s="1" t="s">
        <v>85</v>
      </c>
      <c r="H869" s="1" t="s">
        <v>86</v>
      </c>
      <c r="I869">
        <v>1056</v>
      </c>
      <c r="J869">
        <v>4379</v>
      </c>
      <c r="K869">
        <v>817</v>
      </c>
      <c r="L869">
        <v>1290</v>
      </c>
      <c r="M869">
        <v>7542</v>
      </c>
      <c r="N869" s="2">
        <v>45886</v>
      </c>
      <c r="O869" s="2">
        <v>45847</v>
      </c>
      <c r="P869" s="1" t="s">
        <v>93</v>
      </c>
      <c r="Q869" s="1" t="s">
        <v>21</v>
      </c>
      <c r="R869" s="1" t="s">
        <v>87</v>
      </c>
      <c r="S869">
        <v>339</v>
      </c>
      <c r="T869" s="1" t="s">
        <v>2168</v>
      </c>
    </row>
    <row r="870" spans="1:20" x14ac:dyDescent="0.3">
      <c r="A870" s="1" t="s">
        <v>2169</v>
      </c>
      <c r="B870" s="1" t="s">
        <v>432</v>
      </c>
      <c r="C870">
        <v>36</v>
      </c>
      <c r="D870" s="1" t="s">
        <v>12</v>
      </c>
      <c r="E870" s="1" t="s">
        <v>40</v>
      </c>
      <c r="F870" s="1" t="s">
        <v>97</v>
      </c>
      <c r="G870" s="1" t="s">
        <v>176</v>
      </c>
      <c r="H870" s="1" t="s">
        <v>115</v>
      </c>
      <c r="I870">
        <v>560</v>
      </c>
      <c r="J870">
        <v>3136</v>
      </c>
      <c r="K870">
        <v>6702</v>
      </c>
      <c r="L870">
        <v>11365</v>
      </c>
      <c r="M870">
        <v>21763</v>
      </c>
      <c r="N870" s="2">
        <v>45951</v>
      </c>
      <c r="O870" s="2">
        <v>45775</v>
      </c>
      <c r="P870" s="1" t="s">
        <v>136</v>
      </c>
      <c r="Q870" s="1" t="s">
        <v>31</v>
      </c>
      <c r="R870" s="1" t="s">
        <v>17</v>
      </c>
      <c r="S870">
        <v>676</v>
      </c>
      <c r="T870" s="1" t="s">
        <v>2170</v>
      </c>
    </row>
    <row r="871" spans="1:20" x14ac:dyDescent="0.3">
      <c r="A871" s="1" t="s">
        <v>2171</v>
      </c>
      <c r="B871" s="1" t="s">
        <v>1986</v>
      </c>
      <c r="C871">
        <v>66</v>
      </c>
      <c r="D871" s="1" t="s">
        <v>23</v>
      </c>
      <c r="E871" s="1" t="s">
        <v>24</v>
      </c>
      <c r="F871" s="1" t="s">
        <v>120</v>
      </c>
      <c r="G871" s="1" t="s">
        <v>125</v>
      </c>
      <c r="H871" s="1" t="s">
        <v>86</v>
      </c>
      <c r="I871">
        <v>958</v>
      </c>
      <c r="J871">
        <v>1166</v>
      </c>
      <c r="K871">
        <v>4635</v>
      </c>
      <c r="L871">
        <v>9043</v>
      </c>
      <c r="M871">
        <v>15802</v>
      </c>
      <c r="N871" s="2">
        <v>45894</v>
      </c>
      <c r="O871" s="2">
        <v>45966</v>
      </c>
      <c r="P871" s="1" t="s">
        <v>14</v>
      </c>
      <c r="Q871" s="1" t="s">
        <v>9</v>
      </c>
      <c r="R871" s="1" t="s">
        <v>22</v>
      </c>
      <c r="S871">
        <v>910</v>
      </c>
      <c r="T871" s="1" t="s">
        <v>2172</v>
      </c>
    </row>
    <row r="872" spans="1:20" x14ac:dyDescent="0.3">
      <c r="A872" s="1" t="s">
        <v>2173</v>
      </c>
      <c r="B872" s="1" t="s">
        <v>774</v>
      </c>
      <c r="C872">
        <v>47</v>
      </c>
      <c r="D872" s="1" t="s">
        <v>23</v>
      </c>
      <c r="E872" s="1" t="s">
        <v>15</v>
      </c>
      <c r="F872" s="1" t="s">
        <v>135</v>
      </c>
      <c r="G872" s="1" t="s">
        <v>176</v>
      </c>
      <c r="H872" s="1" t="s">
        <v>105</v>
      </c>
      <c r="I872">
        <v>757</v>
      </c>
      <c r="J872">
        <v>525</v>
      </c>
      <c r="K872">
        <v>2980</v>
      </c>
      <c r="L872">
        <v>6835</v>
      </c>
      <c r="M872">
        <v>11097</v>
      </c>
      <c r="N872" s="2">
        <v>45975</v>
      </c>
      <c r="O872" s="2">
        <v>45905</v>
      </c>
      <c r="P872" s="1" t="s">
        <v>110</v>
      </c>
      <c r="Q872" s="1" t="s">
        <v>21</v>
      </c>
      <c r="R872" s="1" t="s">
        <v>17</v>
      </c>
      <c r="S872">
        <v>596</v>
      </c>
      <c r="T872" s="1" t="s">
        <v>2174</v>
      </c>
    </row>
    <row r="873" spans="1:20" x14ac:dyDescent="0.3">
      <c r="A873" s="1" t="s">
        <v>2175</v>
      </c>
      <c r="B873" s="1" t="s">
        <v>1665</v>
      </c>
      <c r="C873">
        <v>26</v>
      </c>
      <c r="D873" s="1" t="s">
        <v>23</v>
      </c>
      <c r="E873" s="1" t="s">
        <v>38</v>
      </c>
      <c r="F873" s="1" t="s">
        <v>114</v>
      </c>
      <c r="G873" s="1" t="s">
        <v>125</v>
      </c>
      <c r="H873" s="1" t="s">
        <v>26</v>
      </c>
      <c r="I873">
        <v>424</v>
      </c>
      <c r="J873">
        <v>2096</v>
      </c>
      <c r="K873">
        <v>4588</v>
      </c>
      <c r="L873">
        <v>14088</v>
      </c>
      <c r="M873">
        <v>21196</v>
      </c>
      <c r="N873" s="2">
        <v>45916</v>
      </c>
      <c r="O873" s="2">
        <v>45802</v>
      </c>
      <c r="P873" s="1" t="s">
        <v>19</v>
      </c>
      <c r="Q873" s="1" t="s">
        <v>16</v>
      </c>
      <c r="R873" s="1" t="s">
        <v>17</v>
      </c>
      <c r="S873">
        <v>367</v>
      </c>
      <c r="T873" s="1" t="s">
        <v>2176</v>
      </c>
    </row>
    <row r="874" spans="1:20" x14ac:dyDescent="0.3">
      <c r="A874" s="1" t="s">
        <v>2177</v>
      </c>
      <c r="B874" s="1" t="s">
        <v>1043</v>
      </c>
      <c r="C874">
        <v>4</v>
      </c>
      <c r="D874" s="1" t="s">
        <v>23</v>
      </c>
      <c r="E874" s="1" t="s">
        <v>15</v>
      </c>
      <c r="F874" s="1" t="s">
        <v>120</v>
      </c>
      <c r="G874" s="1" t="s">
        <v>98</v>
      </c>
      <c r="H874" s="1" t="s">
        <v>37</v>
      </c>
      <c r="I874">
        <v>1054</v>
      </c>
      <c r="J874">
        <v>4308</v>
      </c>
      <c r="K874">
        <v>6655</v>
      </c>
      <c r="L874">
        <v>3418</v>
      </c>
      <c r="M874">
        <v>15435</v>
      </c>
      <c r="N874" s="2">
        <v>45886</v>
      </c>
      <c r="O874" s="2">
        <v>45978</v>
      </c>
      <c r="P874" s="1" t="s">
        <v>93</v>
      </c>
      <c r="Q874" s="1" t="s">
        <v>9</v>
      </c>
      <c r="R874" s="1" t="s">
        <v>17</v>
      </c>
      <c r="S874">
        <v>210</v>
      </c>
      <c r="T874" s="1" t="s">
        <v>2178</v>
      </c>
    </row>
    <row r="875" spans="1:20" x14ac:dyDescent="0.3">
      <c r="A875" s="1" t="s">
        <v>2179</v>
      </c>
      <c r="B875" s="1" t="s">
        <v>460</v>
      </c>
      <c r="C875">
        <v>26</v>
      </c>
      <c r="D875" s="1" t="s">
        <v>12</v>
      </c>
      <c r="E875" s="1" t="s">
        <v>27</v>
      </c>
      <c r="F875" s="1" t="s">
        <v>124</v>
      </c>
      <c r="G875" s="1" t="s">
        <v>91</v>
      </c>
      <c r="H875" s="1" t="s">
        <v>145</v>
      </c>
      <c r="I875">
        <v>563</v>
      </c>
      <c r="J875">
        <v>3144</v>
      </c>
      <c r="K875">
        <v>438</v>
      </c>
      <c r="L875">
        <v>3030</v>
      </c>
      <c r="M875">
        <v>7175</v>
      </c>
      <c r="N875" s="2">
        <v>45684</v>
      </c>
      <c r="O875" s="2">
        <v>45825</v>
      </c>
      <c r="P875" s="1" t="s">
        <v>110</v>
      </c>
      <c r="Q875" s="1" t="s">
        <v>31</v>
      </c>
      <c r="R875" s="1" t="s">
        <v>17</v>
      </c>
      <c r="S875">
        <v>951</v>
      </c>
      <c r="T875" s="1" t="s">
        <v>2180</v>
      </c>
    </row>
    <row r="876" spans="1:20" x14ac:dyDescent="0.3">
      <c r="A876" s="1" t="s">
        <v>2181</v>
      </c>
      <c r="B876" s="1" t="s">
        <v>294</v>
      </c>
      <c r="C876">
        <v>4</v>
      </c>
      <c r="D876" s="1" t="s">
        <v>12</v>
      </c>
      <c r="E876" s="1" t="s">
        <v>20</v>
      </c>
      <c r="F876" s="1" t="s">
        <v>97</v>
      </c>
      <c r="G876" s="1" t="s">
        <v>98</v>
      </c>
      <c r="H876" s="1" t="s">
        <v>155</v>
      </c>
      <c r="I876">
        <v>664</v>
      </c>
      <c r="J876">
        <v>3175</v>
      </c>
      <c r="K876">
        <v>5322</v>
      </c>
      <c r="L876">
        <v>14698</v>
      </c>
      <c r="M876">
        <v>23859</v>
      </c>
      <c r="N876" s="2">
        <v>45675</v>
      </c>
      <c r="O876" s="2">
        <v>45987</v>
      </c>
      <c r="P876" s="1" t="s">
        <v>14</v>
      </c>
      <c r="Q876" s="1" t="s">
        <v>16</v>
      </c>
      <c r="R876" s="1" t="s">
        <v>87</v>
      </c>
      <c r="S876">
        <v>157</v>
      </c>
      <c r="T876" s="1" t="s">
        <v>2182</v>
      </c>
    </row>
    <row r="877" spans="1:20" x14ac:dyDescent="0.3">
      <c r="A877" s="1" t="s">
        <v>2183</v>
      </c>
      <c r="B877" s="1" t="s">
        <v>239</v>
      </c>
      <c r="C877">
        <v>9</v>
      </c>
      <c r="D877" s="1" t="s">
        <v>23</v>
      </c>
      <c r="E877" s="1" t="s">
        <v>20</v>
      </c>
      <c r="F877" s="1" t="s">
        <v>109</v>
      </c>
      <c r="G877" s="1" t="s">
        <v>91</v>
      </c>
      <c r="H877" s="1" t="s">
        <v>86</v>
      </c>
      <c r="I877">
        <v>509</v>
      </c>
      <c r="J877">
        <v>4782</v>
      </c>
      <c r="K877">
        <v>1638</v>
      </c>
      <c r="L877">
        <v>12695</v>
      </c>
      <c r="M877">
        <v>19624</v>
      </c>
      <c r="N877" s="2">
        <v>45778</v>
      </c>
      <c r="O877" s="2">
        <v>45705</v>
      </c>
      <c r="P877" s="1" t="s">
        <v>177</v>
      </c>
      <c r="Q877" s="1" t="s">
        <v>16</v>
      </c>
      <c r="R877" s="1" t="s">
        <v>17</v>
      </c>
      <c r="S877">
        <v>451</v>
      </c>
      <c r="T877" s="1" t="s">
        <v>2184</v>
      </c>
    </row>
    <row r="878" spans="1:20" x14ac:dyDescent="0.3">
      <c r="A878" s="1" t="s">
        <v>2185</v>
      </c>
      <c r="B878" s="1" t="s">
        <v>605</v>
      </c>
      <c r="C878">
        <v>52</v>
      </c>
      <c r="D878" s="1" t="s">
        <v>23</v>
      </c>
      <c r="E878" s="1" t="s">
        <v>24</v>
      </c>
      <c r="F878" s="1" t="s">
        <v>120</v>
      </c>
      <c r="G878" s="1" t="s">
        <v>176</v>
      </c>
      <c r="H878" s="1" t="s">
        <v>155</v>
      </c>
      <c r="I878">
        <v>617</v>
      </c>
      <c r="J878">
        <v>4990</v>
      </c>
      <c r="K878">
        <v>7040</v>
      </c>
      <c r="L878">
        <v>2465</v>
      </c>
      <c r="M878">
        <v>15112</v>
      </c>
      <c r="N878" s="2">
        <v>45764</v>
      </c>
      <c r="O878" s="2">
        <v>45887</v>
      </c>
      <c r="P878" s="1" t="s">
        <v>25</v>
      </c>
      <c r="Q878" s="1" t="s">
        <v>21</v>
      </c>
      <c r="R878" s="1" t="s">
        <v>22</v>
      </c>
      <c r="S878">
        <v>345</v>
      </c>
      <c r="T878" s="1" t="s">
        <v>2186</v>
      </c>
    </row>
    <row r="879" spans="1:20" x14ac:dyDescent="0.3">
      <c r="A879" s="1" t="s">
        <v>2187</v>
      </c>
      <c r="B879" s="1" t="s">
        <v>988</v>
      </c>
      <c r="C879">
        <v>7</v>
      </c>
      <c r="D879" s="1" t="s">
        <v>23</v>
      </c>
      <c r="E879" s="1" t="s">
        <v>20</v>
      </c>
      <c r="F879" s="1" t="s">
        <v>135</v>
      </c>
      <c r="G879" s="1" t="s">
        <v>91</v>
      </c>
      <c r="H879" s="1" t="s">
        <v>29</v>
      </c>
      <c r="I879">
        <v>386</v>
      </c>
      <c r="J879">
        <v>2294</v>
      </c>
      <c r="K879">
        <v>6513</v>
      </c>
      <c r="L879">
        <v>4811</v>
      </c>
      <c r="M879">
        <v>14004</v>
      </c>
      <c r="N879" s="2">
        <v>45736</v>
      </c>
      <c r="O879" s="2">
        <v>45728</v>
      </c>
      <c r="P879" s="1" t="s">
        <v>110</v>
      </c>
      <c r="Q879" s="1" t="s">
        <v>9</v>
      </c>
      <c r="R879" s="1" t="s">
        <v>87</v>
      </c>
      <c r="S879">
        <v>786</v>
      </c>
      <c r="T879" s="1" t="s">
        <v>2188</v>
      </c>
    </row>
    <row r="880" spans="1:20" x14ac:dyDescent="0.3">
      <c r="A880" s="1" t="s">
        <v>2189</v>
      </c>
      <c r="B880" s="1" t="s">
        <v>2190</v>
      </c>
      <c r="C880">
        <v>38</v>
      </c>
      <c r="D880" s="1" t="s">
        <v>12</v>
      </c>
      <c r="E880" s="1" t="s">
        <v>40</v>
      </c>
      <c r="F880" s="1" t="s">
        <v>103</v>
      </c>
      <c r="G880" s="1" t="s">
        <v>98</v>
      </c>
      <c r="H880" s="1" t="s">
        <v>199</v>
      </c>
      <c r="I880">
        <v>1426</v>
      </c>
      <c r="J880">
        <v>1056</v>
      </c>
      <c r="K880">
        <v>628</v>
      </c>
      <c r="L880">
        <v>4278</v>
      </c>
      <c r="M880">
        <v>7388</v>
      </c>
      <c r="N880" s="2">
        <v>45959</v>
      </c>
      <c r="O880" s="2">
        <v>45676</v>
      </c>
      <c r="P880" s="1" t="s">
        <v>19</v>
      </c>
      <c r="Q880" s="1" t="s">
        <v>9</v>
      </c>
      <c r="R880" s="1" t="s">
        <v>22</v>
      </c>
      <c r="S880">
        <v>457</v>
      </c>
      <c r="T880" s="1" t="s">
        <v>2191</v>
      </c>
    </row>
    <row r="881" spans="1:20" x14ac:dyDescent="0.3">
      <c r="A881" s="1" t="s">
        <v>2192</v>
      </c>
      <c r="B881" s="1" t="s">
        <v>1078</v>
      </c>
      <c r="C881">
        <v>48</v>
      </c>
      <c r="D881" s="1" t="s">
        <v>23</v>
      </c>
      <c r="E881" s="1" t="s">
        <v>20</v>
      </c>
      <c r="F881" s="1" t="s">
        <v>120</v>
      </c>
      <c r="G881" s="1" t="s">
        <v>98</v>
      </c>
      <c r="H881" s="1" t="s">
        <v>115</v>
      </c>
      <c r="I881">
        <v>611</v>
      </c>
      <c r="J881">
        <v>4892</v>
      </c>
      <c r="K881">
        <v>360</v>
      </c>
      <c r="L881">
        <v>11283</v>
      </c>
      <c r="M881">
        <v>17146</v>
      </c>
      <c r="N881" s="2">
        <v>45976</v>
      </c>
      <c r="O881" s="2">
        <v>45802</v>
      </c>
      <c r="P881" s="1" t="s">
        <v>14</v>
      </c>
      <c r="Q881" s="1" t="s">
        <v>9</v>
      </c>
      <c r="R881" s="1" t="s">
        <v>22</v>
      </c>
      <c r="S881">
        <v>954</v>
      </c>
      <c r="T881" s="1" t="s">
        <v>2193</v>
      </c>
    </row>
    <row r="882" spans="1:20" x14ac:dyDescent="0.3">
      <c r="A882" s="1" t="s">
        <v>2194</v>
      </c>
      <c r="B882" s="1" t="s">
        <v>1025</v>
      </c>
      <c r="C882">
        <v>43</v>
      </c>
      <c r="D882" s="1" t="s">
        <v>23</v>
      </c>
      <c r="E882" s="1" t="s">
        <v>38</v>
      </c>
      <c r="F882" s="1" t="s">
        <v>97</v>
      </c>
      <c r="G882" s="1" t="s">
        <v>85</v>
      </c>
      <c r="H882" s="1" t="s">
        <v>165</v>
      </c>
      <c r="I882">
        <v>1104</v>
      </c>
      <c r="J882">
        <v>1476</v>
      </c>
      <c r="K882">
        <v>5628</v>
      </c>
      <c r="L882">
        <v>5675</v>
      </c>
      <c r="M882">
        <v>13883</v>
      </c>
      <c r="N882" s="2">
        <v>45889</v>
      </c>
      <c r="O882" s="2">
        <v>45672</v>
      </c>
      <c r="P882" s="1" t="s">
        <v>116</v>
      </c>
      <c r="Q882" s="1" t="s">
        <v>31</v>
      </c>
      <c r="R882" s="1" t="s">
        <v>22</v>
      </c>
      <c r="S882">
        <v>142</v>
      </c>
      <c r="T882" s="1" t="s">
        <v>2195</v>
      </c>
    </row>
    <row r="883" spans="1:20" x14ac:dyDescent="0.3">
      <c r="A883" s="1" t="s">
        <v>2196</v>
      </c>
      <c r="B883" s="1" t="s">
        <v>618</v>
      </c>
      <c r="C883">
        <v>26</v>
      </c>
      <c r="D883" s="1" t="s">
        <v>12</v>
      </c>
      <c r="E883" s="1" t="s">
        <v>36</v>
      </c>
      <c r="F883" s="1" t="s">
        <v>84</v>
      </c>
      <c r="G883" s="1" t="s">
        <v>85</v>
      </c>
      <c r="H883" s="1" t="s">
        <v>26</v>
      </c>
      <c r="I883">
        <v>1039</v>
      </c>
      <c r="J883">
        <v>4299</v>
      </c>
      <c r="K883">
        <v>745</v>
      </c>
      <c r="L883">
        <v>11614</v>
      </c>
      <c r="M883">
        <v>17697</v>
      </c>
      <c r="N883" s="2">
        <v>45978</v>
      </c>
      <c r="O883" s="2">
        <v>45775</v>
      </c>
      <c r="P883" s="1" t="s">
        <v>136</v>
      </c>
      <c r="Q883" s="1" t="s">
        <v>16</v>
      </c>
      <c r="R883" s="1" t="s">
        <v>17</v>
      </c>
      <c r="S883">
        <v>112</v>
      </c>
      <c r="T883" s="1" t="s">
        <v>2197</v>
      </c>
    </row>
    <row r="884" spans="1:20" x14ac:dyDescent="0.3">
      <c r="A884" s="1" t="s">
        <v>2198</v>
      </c>
      <c r="B884" s="1" t="s">
        <v>713</v>
      </c>
      <c r="C884">
        <v>27</v>
      </c>
      <c r="D884" s="1" t="s">
        <v>12</v>
      </c>
      <c r="E884" s="1" t="s">
        <v>36</v>
      </c>
      <c r="F884" s="1" t="s">
        <v>120</v>
      </c>
      <c r="G884" s="1" t="s">
        <v>176</v>
      </c>
      <c r="H884" s="1" t="s">
        <v>186</v>
      </c>
      <c r="I884">
        <v>1237</v>
      </c>
      <c r="J884">
        <v>3701</v>
      </c>
      <c r="K884">
        <v>5230</v>
      </c>
      <c r="L884">
        <v>13351</v>
      </c>
      <c r="M884">
        <v>23519</v>
      </c>
      <c r="N884" s="2">
        <v>45742</v>
      </c>
      <c r="O884" s="2">
        <v>45909</v>
      </c>
      <c r="P884" s="1" t="s">
        <v>116</v>
      </c>
      <c r="Q884" s="1" t="s">
        <v>31</v>
      </c>
      <c r="R884" s="1" t="s">
        <v>22</v>
      </c>
      <c r="S884">
        <v>731</v>
      </c>
      <c r="T884" s="1" t="s">
        <v>2199</v>
      </c>
    </row>
    <row r="885" spans="1:20" x14ac:dyDescent="0.3">
      <c r="A885" s="1" t="s">
        <v>2200</v>
      </c>
      <c r="B885" s="1" t="s">
        <v>478</v>
      </c>
      <c r="C885">
        <v>80</v>
      </c>
      <c r="D885" s="1" t="s">
        <v>23</v>
      </c>
      <c r="E885" s="1" t="s">
        <v>33</v>
      </c>
      <c r="F885" s="1" t="s">
        <v>103</v>
      </c>
      <c r="G885" s="1" t="s">
        <v>91</v>
      </c>
      <c r="H885" s="1" t="s">
        <v>165</v>
      </c>
      <c r="I885">
        <v>300</v>
      </c>
      <c r="J885">
        <v>2985</v>
      </c>
      <c r="K885">
        <v>3945</v>
      </c>
      <c r="L885">
        <v>7249</v>
      </c>
      <c r="M885">
        <v>14479</v>
      </c>
      <c r="N885" s="2">
        <v>45948</v>
      </c>
      <c r="O885" s="2">
        <v>45739</v>
      </c>
      <c r="P885" s="1" t="s">
        <v>35</v>
      </c>
      <c r="Q885" s="1" t="s">
        <v>31</v>
      </c>
      <c r="R885" s="1" t="s">
        <v>87</v>
      </c>
      <c r="S885">
        <v>295</v>
      </c>
      <c r="T885" s="1" t="s">
        <v>2201</v>
      </c>
    </row>
    <row r="886" spans="1:20" x14ac:dyDescent="0.3">
      <c r="A886" s="1" t="s">
        <v>2202</v>
      </c>
      <c r="B886" s="1" t="s">
        <v>161</v>
      </c>
      <c r="C886">
        <v>36</v>
      </c>
      <c r="D886" s="1" t="s">
        <v>12</v>
      </c>
      <c r="E886" s="1" t="s">
        <v>24</v>
      </c>
      <c r="F886" s="1" t="s">
        <v>103</v>
      </c>
      <c r="G886" s="1" t="s">
        <v>104</v>
      </c>
      <c r="H886" s="1" t="s">
        <v>26</v>
      </c>
      <c r="I886">
        <v>371</v>
      </c>
      <c r="J886">
        <v>1483</v>
      </c>
      <c r="K886">
        <v>2774</v>
      </c>
      <c r="L886">
        <v>3323</v>
      </c>
      <c r="M886">
        <v>7951</v>
      </c>
      <c r="N886" s="2">
        <v>45792</v>
      </c>
      <c r="O886" s="2">
        <v>45891</v>
      </c>
      <c r="P886" s="1" t="s">
        <v>19</v>
      </c>
      <c r="Q886" s="1" t="s">
        <v>16</v>
      </c>
      <c r="R886" s="1" t="s">
        <v>17</v>
      </c>
      <c r="S886">
        <v>278</v>
      </c>
      <c r="T886" s="1" t="s">
        <v>2203</v>
      </c>
    </row>
    <row r="887" spans="1:20" x14ac:dyDescent="0.3">
      <c r="A887" s="1" t="s">
        <v>2204</v>
      </c>
      <c r="B887" s="1" t="s">
        <v>96</v>
      </c>
      <c r="C887">
        <v>31</v>
      </c>
      <c r="D887" s="1" t="s">
        <v>12</v>
      </c>
      <c r="E887" s="1" t="s">
        <v>24</v>
      </c>
      <c r="F887" s="1" t="s">
        <v>124</v>
      </c>
      <c r="G887" s="1" t="s">
        <v>125</v>
      </c>
      <c r="H887" s="1" t="s">
        <v>165</v>
      </c>
      <c r="I887">
        <v>346</v>
      </c>
      <c r="J887">
        <v>4429</v>
      </c>
      <c r="K887">
        <v>818</v>
      </c>
      <c r="L887">
        <v>12983</v>
      </c>
      <c r="M887">
        <v>18576</v>
      </c>
      <c r="N887" s="2">
        <v>46012</v>
      </c>
      <c r="O887" s="2">
        <v>45736</v>
      </c>
      <c r="P887" s="1" t="s">
        <v>19</v>
      </c>
      <c r="Q887" s="1" t="s">
        <v>9</v>
      </c>
      <c r="R887" s="1" t="s">
        <v>22</v>
      </c>
      <c r="S887">
        <v>138</v>
      </c>
      <c r="T887" s="1" t="s">
        <v>2205</v>
      </c>
    </row>
    <row r="888" spans="1:20" x14ac:dyDescent="0.3">
      <c r="A888" s="1" t="s">
        <v>2206</v>
      </c>
      <c r="B888" s="1" t="s">
        <v>1320</v>
      </c>
      <c r="C888">
        <v>53</v>
      </c>
      <c r="D888" s="1" t="s">
        <v>23</v>
      </c>
      <c r="E888" s="1" t="s">
        <v>33</v>
      </c>
      <c r="F888" s="1" t="s">
        <v>103</v>
      </c>
      <c r="G888" s="1" t="s">
        <v>104</v>
      </c>
      <c r="H888" s="1" t="s">
        <v>29</v>
      </c>
      <c r="I888">
        <v>429</v>
      </c>
      <c r="J888">
        <v>2800</v>
      </c>
      <c r="K888">
        <v>6115</v>
      </c>
      <c r="L888">
        <v>5613</v>
      </c>
      <c r="M888">
        <v>14957</v>
      </c>
      <c r="N888" s="2">
        <v>45903</v>
      </c>
      <c r="O888" s="2">
        <v>45761</v>
      </c>
      <c r="P888" s="1" t="s">
        <v>14</v>
      </c>
      <c r="Q888" s="1" t="s">
        <v>21</v>
      </c>
      <c r="R888" s="1" t="s">
        <v>22</v>
      </c>
      <c r="S888">
        <v>340</v>
      </c>
      <c r="T888" s="1" t="s">
        <v>2207</v>
      </c>
    </row>
    <row r="889" spans="1:20" x14ac:dyDescent="0.3">
      <c r="A889" s="1" t="s">
        <v>2208</v>
      </c>
      <c r="B889" s="1" t="s">
        <v>43</v>
      </c>
      <c r="C889">
        <v>84</v>
      </c>
      <c r="D889" s="1" t="s">
        <v>23</v>
      </c>
      <c r="E889" s="1" t="s">
        <v>27</v>
      </c>
      <c r="F889" s="1" t="s">
        <v>120</v>
      </c>
      <c r="G889" s="1" t="s">
        <v>176</v>
      </c>
      <c r="H889" s="1" t="s">
        <v>215</v>
      </c>
      <c r="I889">
        <v>774</v>
      </c>
      <c r="J889">
        <v>887</v>
      </c>
      <c r="K889">
        <v>2647</v>
      </c>
      <c r="L889">
        <v>6964</v>
      </c>
      <c r="M889">
        <v>11272</v>
      </c>
      <c r="N889" s="2">
        <v>45703</v>
      </c>
      <c r="O889" s="2">
        <v>45964</v>
      </c>
      <c r="P889" s="1" t="s">
        <v>177</v>
      </c>
      <c r="Q889" s="1" t="s">
        <v>9</v>
      </c>
      <c r="R889" s="1" t="s">
        <v>87</v>
      </c>
      <c r="S889">
        <v>267</v>
      </c>
      <c r="T889" s="1" t="s">
        <v>2209</v>
      </c>
    </row>
    <row r="890" spans="1:20" x14ac:dyDescent="0.3">
      <c r="A890" s="1" t="s">
        <v>2210</v>
      </c>
      <c r="B890" s="1" t="s">
        <v>367</v>
      </c>
      <c r="C890">
        <v>70</v>
      </c>
      <c r="D890" s="1" t="s">
        <v>23</v>
      </c>
      <c r="E890" s="1" t="s">
        <v>36</v>
      </c>
      <c r="F890" s="1" t="s">
        <v>97</v>
      </c>
      <c r="G890" s="1" t="s">
        <v>85</v>
      </c>
      <c r="H890" s="1" t="s">
        <v>99</v>
      </c>
      <c r="I890">
        <v>1133</v>
      </c>
      <c r="J890">
        <v>1925</v>
      </c>
      <c r="K890">
        <v>5053</v>
      </c>
      <c r="L890">
        <v>7582</v>
      </c>
      <c r="M890">
        <v>15693</v>
      </c>
      <c r="N890" s="2">
        <v>45848</v>
      </c>
      <c r="O890" s="2">
        <v>45897</v>
      </c>
      <c r="P890" s="1" t="s">
        <v>177</v>
      </c>
      <c r="Q890" s="1" t="s">
        <v>9</v>
      </c>
      <c r="R890" s="1" t="s">
        <v>87</v>
      </c>
      <c r="S890">
        <v>655</v>
      </c>
      <c r="T890" s="1" t="s">
        <v>2211</v>
      </c>
    </row>
    <row r="891" spans="1:20" x14ac:dyDescent="0.3">
      <c r="A891" s="1" t="s">
        <v>2212</v>
      </c>
      <c r="B891" s="1" t="s">
        <v>322</v>
      </c>
      <c r="C891">
        <v>12</v>
      </c>
      <c r="D891" s="1" t="s">
        <v>12</v>
      </c>
      <c r="E891" s="1" t="s">
        <v>33</v>
      </c>
      <c r="F891" s="1" t="s">
        <v>109</v>
      </c>
      <c r="G891" s="1" t="s">
        <v>91</v>
      </c>
      <c r="H891" s="1" t="s">
        <v>186</v>
      </c>
      <c r="I891">
        <v>1034</v>
      </c>
      <c r="J891">
        <v>4322</v>
      </c>
      <c r="K891">
        <v>3992</v>
      </c>
      <c r="L891">
        <v>13348</v>
      </c>
      <c r="M891">
        <v>22696</v>
      </c>
      <c r="N891" s="2">
        <v>45934</v>
      </c>
      <c r="O891" s="2">
        <v>46006</v>
      </c>
      <c r="P891" s="1" t="s">
        <v>25</v>
      </c>
      <c r="Q891" s="1" t="s">
        <v>31</v>
      </c>
      <c r="R891" s="1" t="s">
        <v>87</v>
      </c>
      <c r="S891">
        <v>449</v>
      </c>
      <c r="T891" s="1" t="s">
        <v>2213</v>
      </c>
    </row>
    <row r="892" spans="1:20" x14ac:dyDescent="0.3">
      <c r="A892" s="1" t="s">
        <v>2214</v>
      </c>
      <c r="B892" s="1" t="s">
        <v>758</v>
      </c>
      <c r="C892">
        <v>18</v>
      </c>
      <c r="D892" s="1" t="s">
        <v>23</v>
      </c>
      <c r="E892" s="1" t="s">
        <v>33</v>
      </c>
      <c r="F892" s="1" t="s">
        <v>120</v>
      </c>
      <c r="G892" s="1" t="s">
        <v>91</v>
      </c>
      <c r="H892" s="1" t="s">
        <v>37</v>
      </c>
      <c r="I892">
        <v>1158</v>
      </c>
      <c r="J892">
        <v>1416</v>
      </c>
      <c r="K892">
        <v>4407</v>
      </c>
      <c r="L892">
        <v>9912</v>
      </c>
      <c r="M892">
        <v>16893</v>
      </c>
      <c r="N892" s="2">
        <v>45679</v>
      </c>
      <c r="O892" s="2">
        <v>45924</v>
      </c>
      <c r="P892" s="1" t="s">
        <v>35</v>
      </c>
      <c r="Q892" s="1" t="s">
        <v>31</v>
      </c>
      <c r="R892" s="1" t="s">
        <v>87</v>
      </c>
      <c r="S892">
        <v>332</v>
      </c>
      <c r="T892" s="1" t="s">
        <v>2215</v>
      </c>
    </row>
    <row r="893" spans="1:20" x14ac:dyDescent="0.3">
      <c r="A893" s="1" t="s">
        <v>2216</v>
      </c>
      <c r="B893" s="1" t="s">
        <v>432</v>
      </c>
      <c r="C893">
        <v>15</v>
      </c>
      <c r="D893" s="1" t="s">
        <v>12</v>
      </c>
      <c r="E893" s="1" t="s">
        <v>40</v>
      </c>
      <c r="F893" s="1" t="s">
        <v>97</v>
      </c>
      <c r="G893" s="1" t="s">
        <v>104</v>
      </c>
      <c r="H893" s="1" t="s">
        <v>155</v>
      </c>
      <c r="I893">
        <v>1371</v>
      </c>
      <c r="J893">
        <v>3717</v>
      </c>
      <c r="K893">
        <v>2094</v>
      </c>
      <c r="L893">
        <v>10453</v>
      </c>
      <c r="M893">
        <v>17635</v>
      </c>
      <c r="N893" s="2">
        <v>45837</v>
      </c>
      <c r="O893" s="2">
        <v>45866</v>
      </c>
      <c r="P893" s="1" t="s">
        <v>35</v>
      </c>
      <c r="Q893" s="1" t="s">
        <v>9</v>
      </c>
      <c r="R893" s="1" t="s">
        <v>22</v>
      </c>
      <c r="S893">
        <v>954</v>
      </c>
      <c r="T893" s="1" t="s">
        <v>2217</v>
      </c>
    </row>
    <row r="894" spans="1:20" x14ac:dyDescent="0.3">
      <c r="A894" s="1" t="s">
        <v>2218</v>
      </c>
      <c r="B894" s="1" t="s">
        <v>724</v>
      </c>
      <c r="C894">
        <v>65</v>
      </c>
      <c r="D894" s="1" t="s">
        <v>23</v>
      </c>
      <c r="E894" s="1" t="s">
        <v>24</v>
      </c>
      <c r="F894" s="1" t="s">
        <v>135</v>
      </c>
      <c r="G894" s="1" t="s">
        <v>176</v>
      </c>
      <c r="H894" s="1" t="s">
        <v>86</v>
      </c>
      <c r="I894">
        <v>447</v>
      </c>
      <c r="J894">
        <v>3011</v>
      </c>
      <c r="K894">
        <v>2281</v>
      </c>
      <c r="L894">
        <v>13383</v>
      </c>
      <c r="M894">
        <v>19122</v>
      </c>
      <c r="N894" s="2">
        <v>45865</v>
      </c>
      <c r="O894" s="2">
        <v>45813</v>
      </c>
      <c r="P894" s="1" t="s">
        <v>19</v>
      </c>
      <c r="Q894" s="1" t="s">
        <v>31</v>
      </c>
      <c r="R894" s="1" t="s">
        <v>22</v>
      </c>
      <c r="S894">
        <v>116</v>
      </c>
      <c r="T894" s="1" t="s">
        <v>2219</v>
      </c>
    </row>
    <row r="895" spans="1:20" x14ac:dyDescent="0.3">
      <c r="A895" s="1" t="s">
        <v>2220</v>
      </c>
      <c r="B895" s="1" t="s">
        <v>1758</v>
      </c>
      <c r="C895">
        <v>27</v>
      </c>
      <c r="D895" s="1" t="s">
        <v>23</v>
      </c>
      <c r="E895" s="1" t="s">
        <v>33</v>
      </c>
      <c r="F895" s="1" t="s">
        <v>114</v>
      </c>
      <c r="G895" s="1" t="s">
        <v>104</v>
      </c>
      <c r="H895" s="1" t="s">
        <v>37</v>
      </c>
      <c r="I895">
        <v>819</v>
      </c>
      <c r="J895">
        <v>4207</v>
      </c>
      <c r="K895">
        <v>1274</v>
      </c>
      <c r="L895">
        <v>7912</v>
      </c>
      <c r="M895">
        <v>14212</v>
      </c>
      <c r="N895" s="2">
        <v>45841</v>
      </c>
      <c r="O895" s="2">
        <v>45996</v>
      </c>
      <c r="P895" s="1" t="s">
        <v>93</v>
      </c>
      <c r="Q895" s="1" t="s">
        <v>21</v>
      </c>
      <c r="R895" s="1" t="s">
        <v>17</v>
      </c>
      <c r="S895">
        <v>497</v>
      </c>
      <c r="T895" s="1" t="s">
        <v>2221</v>
      </c>
    </row>
    <row r="896" spans="1:20" x14ac:dyDescent="0.3">
      <c r="A896" s="1" t="s">
        <v>2222</v>
      </c>
      <c r="B896" s="1" t="s">
        <v>134</v>
      </c>
      <c r="C896">
        <v>55</v>
      </c>
      <c r="D896" s="1" t="s">
        <v>12</v>
      </c>
      <c r="E896" s="1" t="s">
        <v>38</v>
      </c>
      <c r="F896" s="1" t="s">
        <v>103</v>
      </c>
      <c r="G896" s="1" t="s">
        <v>176</v>
      </c>
      <c r="H896" s="1" t="s">
        <v>215</v>
      </c>
      <c r="I896">
        <v>364</v>
      </c>
      <c r="J896">
        <v>4595</v>
      </c>
      <c r="K896">
        <v>2918</v>
      </c>
      <c r="L896">
        <v>6758</v>
      </c>
      <c r="M896">
        <v>14635</v>
      </c>
      <c r="N896" s="2">
        <v>45673</v>
      </c>
      <c r="O896" s="2">
        <v>45788</v>
      </c>
      <c r="P896" s="1" t="s">
        <v>116</v>
      </c>
      <c r="Q896" s="1" t="s">
        <v>16</v>
      </c>
      <c r="R896" s="1" t="s">
        <v>17</v>
      </c>
      <c r="S896">
        <v>805</v>
      </c>
      <c r="T896" s="1" t="s">
        <v>2223</v>
      </c>
    </row>
    <row r="897" spans="1:20" x14ac:dyDescent="0.3">
      <c r="A897" s="1" t="s">
        <v>2224</v>
      </c>
      <c r="B897" s="1" t="s">
        <v>1770</v>
      </c>
      <c r="C897">
        <v>63</v>
      </c>
      <c r="D897" s="1" t="s">
        <v>23</v>
      </c>
      <c r="E897" s="1" t="s">
        <v>40</v>
      </c>
      <c r="F897" s="1" t="s">
        <v>120</v>
      </c>
      <c r="G897" s="1" t="s">
        <v>104</v>
      </c>
      <c r="H897" s="1" t="s">
        <v>29</v>
      </c>
      <c r="I897">
        <v>1298</v>
      </c>
      <c r="J897">
        <v>1211</v>
      </c>
      <c r="K897">
        <v>4190</v>
      </c>
      <c r="L897">
        <v>5131</v>
      </c>
      <c r="M897">
        <v>11830</v>
      </c>
      <c r="N897" s="2">
        <v>45936</v>
      </c>
      <c r="O897" s="2">
        <v>45705</v>
      </c>
      <c r="P897" s="1" t="s">
        <v>35</v>
      </c>
      <c r="Q897" s="1" t="s">
        <v>16</v>
      </c>
      <c r="R897" s="1" t="s">
        <v>17</v>
      </c>
      <c r="S897">
        <v>488</v>
      </c>
      <c r="T897" s="1" t="s">
        <v>2225</v>
      </c>
    </row>
    <row r="898" spans="1:20" x14ac:dyDescent="0.3">
      <c r="A898" s="1" t="s">
        <v>2226</v>
      </c>
      <c r="B898" s="1" t="s">
        <v>62</v>
      </c>
      <c r="C898">
        <v>78</v>
      </c>
      <c r="D898" s="1" t="s">
        <v>12</v>
      </c>
      <c r="E898" s="1" t="s">
        <v>15</v>
      </c>
      <c r="F898" s="1" t="s">
        <v>103</v>
      </c>
      <c r="G898" s="1" t="s">
        <v>98</v>
      </c>
      <c r="H898" s="1" t="s">
        <v>186</v>
      </c>
      <c r="I898">
        <v>934</v>
      </c>
      <c r="J898">
        <v>4196</v>
      </c>
      <c r="K898">
        <v>2074</v>
      </c>
      <c r="L898">
        <v>11055</v>
      </c>
      <c r="M898">
        <v>18259</v>
      </c>
      <c r="N898" s="2">
        <v>45868</v>
      </c>
      <c r="O898" s="2">
        <v>45706</v>
      </c>
      <c r="P898" s="1" t="s">
        <v>34</v>
      </c>
      <c r="Q898" s="1" t="s">
        <v>16</v>
      </c>
      <c r="R898" s="1" t="s">
        <v>87</v>
      </c>
      <c r="S898">
        <v>555</v>
      </c>
      <c r="T898" s="1" t="s">
        <v>2227</v>
      </c>
    </row>
    <row r="899" spans="1:20" x14ac:dyDescent="0.3">
      <c r="A899" s="1" t="s">
        <v>2228</v>
      </c>
      <c r="B899" s="1" t="s">
        <v>1832</v>
      </c>
      <c r="C899">
        <v>60</v>
      </c>
      <c r="D899" s="1" t="s">
        <v>12</v>
      </c>
      <c r="E899" s="1" t="s">
        <v>36</v>
      </c>
      <c r="F899" s="1" t="s">
        <v>120</v>
      </c>
      <c r="G899" s="1" t="s">
        <v>176</v>
      </c>
      <c r="H899" s="1" t="s">
        <v>29</v>
      </c>
      <c r="I899">
        <v>818</v>
      </c>
      <c r="J899">
        <v>1463</v>
      </c>
      <c r="K899">
        <v>6019</v>
      </c>
      <c r="L899">
        <v>9466</v>
      </c>
      <c r="M899">
        <v>17766</v>
      </c>
      <c r="N899" s="2">
        <v>45909</v>
      </c>
      <c r="O899" s="2">
        <v>45747</v>
      </c>
      <c r="P899" s="1" t="s">
        <v>116</v>
      </c>
      <c r="Q899" s="1" t="s">
        <v>31</v>
      </c>
      <c r="R899" s="1" t="s">
        <v>22</v>
      </c>
      <c r="S899">
        <v>397</v>
      </c>
      <c r="T899" s="1" t="s">
        <v>2229</v>
      </c>
    </row>
    <row r="900" spans="1:20" x14ac:dyDescent="0.3">
      <c r="A900" s="1" t="s">
        <v>2230</v>
      </c>
      <c r="B900" s="1" t="s">
        <v>2001</v>
      </c>
      <c r="C900">
        <v>15</v>
      </c>
      <c r="D900" s="1" t="s">
        <v>23</v>
      </c>
      <c r="E900" s="1" t="s">
        <v>38</v>
      </c>
      <c r="F900" s="1" t="s">
        <v>114</v>
      </c>
      <c r="G900" s="1" t="s">
        <v>158</v>
      </c>
      <c r="H900" s="1" t="s">
        <v>115</v>
      </c>
      <c r="I900">
        <v>1287</v>
      </c>
      <c r="J900">
        <v>4483</v>
      </c>
      <c r="K900">
        <v>2340</v>
      </c>
      <c r="L900">
        <v>1093</v>
      </c>
      <c r="M900">
        <v>9203</v>
      </c>
      <c r="N900" s="2">
        <v>45856</v>
      </c>
      <c r="O900" s="2">
        <v>45992</v>
      </c>
      <c r="P900" s="1" t="s">
        <v>25</v>
      </c>
      <c r="Q900" s="1" t="s">
        <v>21</v>
      </c>
      <c r="R900" s="1" t="s">
        <v>22</v>
      </c>
      <c r="S900">
        <v>328</v>
      </c>
      <c r="T900" s="1" t="s">
        <v>2231</v>
      </c>
    </row>
    <row r="901" spans="1:20" x14ac:dyDescent="0.3">
      <c r="A901" s="1" t="s">
        <v>2232</v>
      </c>
      <c r="B901" s="1" t="s">
        <v>334</v>
      </c>
      <c r="C901">
        <v>30</v>
      </c>
      <c r="D901" s="1" t="s">
        <v>12</v>
      </c>
      <c r="E901" s="1" t="s">
        <v>27</v>
      </c>
      <c r="F901" s="1" t="s">
        <v>114</v>
      </c>
      <c r="G901" s="1" t="s">
        <v>125</v>
      </c>
      <c r="H901" s="1" t="s">
        <v>13</v>
      </c>
      <c r="I901">
        <v>636</v>
      </c>
      <c r="J901">
        <v>1640</v>
      </c>
      <c r="K901">
        <v>1381</v>
      </c>
      <c r="L901">
        <v>13129</v>
      </c>
      <c r="M901">
        <v>16786</v>
      </c>
      <c r="N901" s="2">
        <v>45967</v>
      </c>
      <c r="O901" s="2">
        <v>45946</v>
      </c>
      <c r="P901" s="1" t="s">
        <v>34</v>
      </c>
      <c r="Q901" s="1" t="s">
        <v>21</v>
      </c>
      <c r="R901" s="1" t="s">
        <v>87</v>
      </c>
      <c r="S901">
        <v>540</v>
      </c>
      <c r="T901" s="1" t="s">
        <v>2233</v>
      </c>
    </row>
    <row r="902" spans="1:20" x14ac:dyDescent="0.3">
      <c r="A902" s="1" t="s">
        <v>2234</v>
      </c>
      <c r="B902" s="1" t="s">
        <v>687</v>
      </c>
      <c r="C902">
        <v>82</v>
      </c>
      <c r="D902" s="1" t="s">
        <v>23</v>
      </c>
      <c r="E902" s="1" t="s">
        <v>24</v>
      </c>
      <c r="F902" s="1" t="s">
        <v>120</v>
      </c>
      <c r="G902" s="1" t="s">
        <v>158</v>
      </c>
      <c r="H902" s="1" t="s">
        <v>215</v>
      </c>
      <c r="I902">
        <v>368</v>
      </c>
      <c r="J902">
        <v>2784</v>
      </c>
      <c r="K902">
        <v>3874</v>
      </c>
      <c r="L902">
        <v>10130</v>
      </c>
      <c r="M902">
        <v>17156</v>
      </c>
      <c r="N902" s="2">
        <v>46017</v>
      </c>
      <c r="O902" s="2">
        <v>45874</v>
      </c>
      <c r="P902" s="1" t="s">
        <v>35</v>
      </c>
      <c r="Q902" s="1" t="s">
        <v>21</v>
      </c>
      <c r="R902" s="1" t="s">
        <v>87</v>
      </c>
      <c r="S902">
        <v>466</v>
      </c>
      <c r="T902" s="1" t="s">
        <v>2235</v>
      </c>
    </row>
    <row r="903" spans="1:20" x14ac:dyDescent="0.3">
      <c r="A903" s="1" t="s">
        <v>2236</v>
      </c>
      <c r="B903" s="1" t="s">
        <v>341</v>
      </c>
      <c r="C903">
        <v>32</v>
      </c>
      <c r="D903" s="1" t="s">
        <v>23</v>
      </c>
      <c r="E903" s="1" t="s">
        <v>20</v>
      </c>
      <c r="F903" s="1" t="s">
        <v>114</v>
      </c>
      <c r="G903" s="1" t="s">
        <v>98</v>
      </c>
      <c r="H903" s="1" t="s">
        <v>18</v>
      </c>
      <c r="I903">
        <v>631</v>
      </c>
      <c r="J903">
        <v>1207</v>
      </c>
      <c r="K903">
        <v>4972</v>
      </c>
      <c r="L903">
        <v>4060</v>
      </c>
      <c r="M903">
        <v>10870</v>
      </c>
      <c r="N903" s="2">
        <v>45998</v>
      </c>
      <c r="O903" s="2">
        <v>45758</v>
      </c>
      <c r="P903" s="1" t="s">
        <v>116</v>
      </c>
      <c r="Q903" s="1" t="s">
        <v>21</v>
      </c>
      <c r="R903" s="1" t="s">
        <v>17</v>
      </c>
      <c r="S903">
        <v>168</v>
      </c>
      <c r="T903" s="1" t="s">
        <v>2237</v>
      </c>
    </row>
    <row r="904" spans="1:20" x14ac:dyDescent="0.3">
      <c r="A904" s="1" t="s">
        <v>2238</v>
      </c>
      <c r="B904" s="1" t="s">
        <v>758</v>
      </c>
      <c r="C904">
        <v>53</v>
      </c>
      <c r="D904" s="1" t="s">
        <v>23</v>
      </c>
      <c r="E904" s="1" t="s">
        <v>20</v>
      </c>
      <c r="F904" s="1" t="s">
        <v>103</v>
      </c>
      <c r="G904" s="1" t="s">
        <v>158</v>
      </c>
      <c r="H904" s="1" t="s">
        <v>105</v>
      </c>
      <c r="I904">
        <v>714</v>
      </c>
      <c r="J904">
        <v>1707</v>
      </c>
      <c r="K904">
        <v>2760</v>
      </c>
      <c r="L904">
        <v>3182</v>
      </c>
      <c r="M904">
        <v>8363</v>
      </c>
      <c r="N904" s="2">
        <v>46017</v>
      </c>
      <c r="O904" s="2">
        <v>45858</v>
      </c>
      <c r="P904" s="1" t="s">
        <v>34</v>
      </c>
      <c r="Q904" s="1" t="s">
        <v>16</v>
      </c>
      <c r="R904" s="1" t="s">
        <v>22</v>
      </c>
      <c r="S904">
        <v>637</v>
      </c>
      <c r="T904" s="1" t="s">
        <v>2239</v>
      </c>
    </row>
    <row r="905" spans="1:20" x14ac:dyDescent="0.3">
      <c r="A905" s="1" t="s">
        <v>2240</v>
      </c>
      <c r="B905" s="1" t="s">
        <v>911</v>
      </c>
      <c r="C905">
        <v>68</v>
      </c>
      <c r="D905" s="1" t="s">
        <v>23</v>
      </c>
      <c r="E905" s="1" t="s">
        <v>27</v>
      </c>
      <c r="F905" s="1" t="s">
        <v>124</v>
      </c>
      <c r="G905" s="1" t="s">
        <v>125</v>
      </c>
      <c r="H905" s="1" t="s">
        <v>86</v>
      </c>
      <c r="I905">
        <v>954</v>
      </c>
      <c r="J905">
        <v>2496</v>
      </c>
      <c r="K905">
        <v>7349</v>
      </c>
      <c r="L905">
        <v>8870</v>
      </c>
      <c r="M905">
        <v>19669</v>
      </c>
      <c r="N905" s="2">
        <v>45767</v>
      </c>
      <c r="O905" s="2">
        <v>45754</v>
      </c>
      <c r="P905" s="1" t="s">
        <v>116</v>
      </c>
      <c r="Q905" s="1" t="s">
        <v>31</v>
      </c>
      <c r="R905" s="1" t="s">
        <v>22</v>
      </c>
      <c r="S905">
        <v>276</v>
      </c>
      <c r="T905" s="1" t="s">
        <v>2241</v>
      </c>
    </row>
    <row r="906" spans="1:20" x14ac:dyDescent="0.3">
      <c r="A906" s="1" t="s">
        <v>2242</v>
      </c>
      <c r="B906" s="1" t="s">
        <v>784</v>
      </c>
      <c r="C906">
        <v>10</v>
      </c>
      <c r="D906" s="1" t="s">
        <v>23</v>
      </c>
      <c r="E906" s="1" t="s">
        <v>38</v>
      </c>
      <c r="F906" s="1" t="s">
        <v>109</v>
      </c>
      <c r="G906" s="1" t="s">
        <v>176</v>
      </c>
      <c r="H906" s="1" t="s">
        <v>86</v>
      </c>
      <c r="I906">
        <v>439</v>
      </c>
      <c r="J906">
        <v>4413</v>
      </c>
      <c r="K906">
        <v>4505</v>
      </c>
      <c r="L906">
        <v>2189</v>
      </c>
      <c r="M906">
        <v>11546</v>
      </c>
      <c r="N906" s="2">
        <v>45947</v>
      </c>
      <c r="O906" s="2">
        <v>45742</v>
      </c>
      <c r="P906" s="1" t="s">
        <v>19</v>
      </c>
      <c r="Q906" s="1" t="s">
        <v>21</v>
      </c>
      <c r="R906" s="1" t="s">
        <v>22</v>
      </c>
      <c r="S906">
        <v>947</v>
      </c>
      <c r="T906" s="1" t="s">
        <v>2243</v>
      </c>
    </row>
    <row r="907" spans="1:20" x14ac:dyDescent="0.3">
      <c r="A907" s="1" t="s">
        <v>2244</v>
      </c>
      <c r="B907" s="1" t="s">
        <v>67</v>
      </c>
      <c r="C907">
        <v>56</v>
      </c>
      <c r="D907" s="1" t="s">
        <v>23</v>
      </c>
      <c r="E907" s="1" t="s">
        <v>40</v>
      </c>
      <c r="F907" s="1" t="s">
        <v>97</v>
      </c>
      <c r="G907" s="1" t="s">
        <v>104</v>
      </c>
      <c r="H907" s="1" t="s">
        <v>155</v>
      </c>
      <c r="I907">
        <v>356</v>
      </c>
      <c r="J907">
        <v>2077</v>
      </c>
      <c r="K907">
        <v>5802</v>
      </c>
      <c r="L907">
        <v>12902</v>
      </c>
      <c r="M907">
        <v>21137</v>
      </c>
      <c r="N907" s="2">
        <v>45849</v>
      </c>
      <c r="O907" s="2">
        <v>45858</v>
      </c>
      <c r="P907" s="1" t="s">
        <v>116</v>
      </c>
      <c r="Q907" s="1" t="s">
        <v>31</v>
      </c>
      <c r="R907" s="1" t="s">
        <v>17</v>
      </c>
      <c r="S907">
        <v>729</v>
      </c>
      <c r="T907" s="1" t="s">
        <v>2245</v>
      </c>
    </row>
    <row r="908" spans="1:20" x14ac:dyDescent="0.3">
      <c r="A908" s="1" t="s">
        <v>2246</v>
      </c>
      <c r="B908" s="1" t="s">
        <v>945</v>
      </c>
      <c r="C908">
        <v>83</v>
      </c>
      <c r="D908" s="1" t="s">
        <v>23</v>
      </c>
      <c r="E908" s="1" t="s">
        <v>24</v>
      </c>
      <c r="F908" s="1" t="s">
        <v>84</v>
      </c>
      <c r="G908" s="1" t="s">
        <v>104</v>
      </c>
      <c r="H908" s="1" t="s">
        <v>26</v>
      </c>
      <c r="I908">
        <v>1318</v>
      </c>
      <c r="J908">
        <v>1114</v>
      </c>
      <c r="K908">
        <v>3845</v>
      </c>
      <c r="L908">
        <v>10827</v>
      </c>
      <c r="M908">
        <v>17104</v>
      </c>
      <c r="N908" s="2">
        <v>45673</v>
      </c>
      <c r="O908" s="2">
        <v>45871</v>
      </c>
      <c r="P908" s="1" t="s">
        <v>35</v>
      </c>
      <c r="Q908" s="1" t="s">
        <v>31</v>
      </c>
      <c r="R908" s="1" t="s">
        <v>87</v>
      </c>
      <c r="S908">
        <v>140</v>
      </c>
      <c r="T908" s="1" t="s">
        <v>2247</v>
      </c>
    </row>
    <row r="909" spans="1:20" x14ac:dyDescent="0.3">
      <c r="A909" s="1" t="s">
        <v>2248</v>
      </c>
      <c r="B909" s="1" t="s">
        <v>837</v>
      </c>
      <c r="C909">
        <v>36</v>
      </c>
      <c r="D909" s="1" t="s">
        <v>12</v>
      </c>
      <c r="E909" s="1" t="s">
        <v>38</v>
      </c>
      <c r="F909" s="1" t="s">
        <v>97</v>
      </c>
      <c r="G909" s="1" t="s">
        <v>176</v>
      </c>
      <c r="H909" s="1" t="s">
        <v>26</v>
      </c>
      <c r="I909">
        <v>1396</v>
      </c>
      <c r="J909">
        <v>3179</v>
      </c>
      <c r="K909">
        <v>7831</v>
      </c>
      <c r="L909">
        <v>6048</v>
      </c>
      <c r="M909">
        <v>18454</v>
      </c>
      <c r="N909" s="2">
        <v>45898</v>
      </c>
      <c r="O909" s="2">
        <v>45919</v>
      </c>
      <c r="P909" s="1" t="s">
        <v>116</v>
      </c>
      <c r="Q909" s="1" t="s">
        <v>31</v>
      </c>
      <c r="R909" s="1" t="s">
        <v>17</v>
      </c>
      <c r="S909">
        <v>445</v>
      </c>
      <c r="T909" s="1" t="s">
        <v>2249</v>
      </c>
    </row>
    <row r="910" spans="1:20" x14ac:dyDescent="0.3">
      <c r="A910" s="1" t="s">
        <v>2250</v>
      </c>
      <c r="B910" s="1" t="s">
        <v>497</v>
      </c>
      <c r="C910">
        <v>69</v>
      </c>
      <c r="D910" s="1" t="s">
        <v>23</v>
      </c>
      <c r="E910" s="1" t="s">
        <v>40</v>
      </c>
      <c r="F910" s="1" t="s">
        <v>124</v>
      </c>
      <c r="G910" s="1" t="s">
        <v>98</v>
      </c>
      <c r="H910" s="1" t="s">
        <v>165</v>
      </c>
      <c r="I910">
        <v>855</v>
      </c>
      <c r="J910">
        <v>2867</v>
      </c>
      <c r="K910">
        <v>5169</v>
      </c>
      <c r="L910">
        <v>9413</v>
      </c>
      <c r="M910">
        <v>18304</v>
      </c>
      <c r="N910" s="2">
        <v>45774</v>
      </c>
      <c r="O910" s="2">
        <v>45818</v>
      </c>
      <c r="P910" s="1" t="s">
        <v>177</v>
      </c>
      <c r="Q910" s="1" t="s">
        <v>31</v>
      </c>
      <c r="R910" s="1" t="s">
        <v>17</v>
      </c>
      <c r="S910">
        <v>413</v>
      </c>
      <c r="T910" s="1" t="s">
        <v>2251</v>
      </c>
    </row>
    <row r="911" spans="1:20" x14ac:dyDescent="0.3">
      <c r="A911" s="1" t="s">
        <v>2252</v>
      </c>
      <c r="B911" s="1" t="s">
        <v>777</v>
      </c>
      <c r="C911">
        <v>53</v>
      </c>
      <c r="D911" s="1" t="s">
        <v>12</v>
      </c>
      <c r="E911" s="1" t="s">
        <v>20</v>
      </c>
      <c r="F911" s="1" t="s">
        <v>124</v>
      </c>
      <c r="G911" s="1" t="s">
        <v>104</v>
      </c>
      <c r="H911" s="1" t="s">
        <v>199</v>
      </c>
      <c r="I911">
        <v>685</v>
      </c>
      <c r="J911">
        <v>1640</v>
      </c>
      <c r="K911">
        <v>6871</v>
      </c>
      <c r="L911">
        <v>13614</v>
      </c>
      <c r="M911">
        <v>22810</v>
      </c>
      <c r="N911" s="2">
        <v>46010</v>
      </c>
      <c r="O911" s="2">
        <v>45809</v>
      </c>
      <c r="P911" s="1" t="s">
        <v>19</v>
      </c>
      <c r="Q911" s="1" t="s">
        <v>21</v>
      </c>
      <c r="R911" s="1" t="s">
        <v>22</v>
      </c>
      <c r="S911">
        <v>917</v>
      </c>
      <c r="T911" s="1" t="s">
        <v>2253</v>
      </c>
    </row>
    <row r="912" spans="1:20" x14ac:dyDescent="0.3">
      <c r="A912" s="1" t="s">
        <v>2254</v>
      </c>
      <c r="B912" s="1" t="s">
        <v>236</v>
      </c>
      <c r="C912">
        <v>23</v>
      </c>
      <c r="D912" s="1" t="s">
        <v>23</v>
      </c>
      <c r="E912" s="1" t="s">
        <v>38</v>
      </c>
      <c r="F912" s="1" t="s">
        <v>124</v>
      </c>
      <c r="G912" s="1" t="s">
        <v>125</v>
      </c>
      <c r="H912" s="1" t="s">
        <v>105</v>
      </c>
      <c r="I912">
        <v>721</v>
      </c>
      <c r="J912">
        <v>3263</v>
      </c>
      <c r="K912">
        <v>1799</v>
      </c>
      <c r="L912">
        <v>11608</v>
      </c>
      <c r="M912">
        <v>17391</v>
      </c>
      <c r="N912" s="2">
        <v>45912</v>
      </c>
      <c r="O912" s="2">
        <v>45849</v>
      </c>
      <c r="P912" s="1" t="s">
        <v>19</v>
      </c>
      <c r="Q912" s="1" t="s">
        <v>21</v>
      </c>
      <c r="R912" s="1" t="s">
        <v>87</v>
      </c>
      <c r="S912">
        <v>570</v>
      </c>
      <c r="T912" s="1" t="s">
        <v>2255</v>
      </c>
    </row>
    <row r="913" spans="1:20" x14ac:dyDescent="0.3">
      <c r="A913" s="1" t="s">
        <v>2256</v>
      </c>
      <c r="B913" s="1" t="s">
        <v>28</v>
      </c>
      <c r="C913">
        <v>33</v>
      </c>
      <c r="D913" s="1" t="s">
        <v>23</v>
      </c>
      <c r="E913" s="1" t="s">
        <v>27</v>
      </c>
      <c r="F913" s="1" t="s">
        <v>124</v>
      </c>
      <c r="G913" s="1" t="s">
        <v>98</v>
      </c>
      <c r="H913" s="1" t="s">
        <v>13</v>
      </c>
      <c r="I913">
        <v>1071</v>
      </c>
      <c r="J913">
        <v>3720</v>
      </c>
      <c r="K913">
        <v>326</v>
      </c>
      <c r="L913">
        <v>2090</v>
      </c>
      <c r="M913">
        <v>7207</v>
      </c>
      <c r="N913" s="2">
        <v>45754</v>
      </c>
      <c r="O913" s="2">
        <v>45788</v>
      </c>
      <c r="P913" s="1" t="s">
        <v>116</v>
      </c>
      <c r="Q913" s="1" t="s">
        <v>21</v>
      </c>
      <c r="R913" s="1" t="s">
        <v>87</v>
      </c>
      <c r="S913">
        <v>681</v>
      </c>
      <c r="T913" s="1" t="s">
        <v>2257</v>
      </c>
    </row>
    <row r="914" spans="1:20" x14ac:dyDescent="0.3">
      <c r="A914" s="1" t="s">
        <v>2258</v>
      </c>
      <c r="B914" s="1" t="s">
        <v>108</v>
      </c>
      <c r="C914">
        <v>7</v>
      </c>
      <c r="D914" s="1" t="s">
        <v>12</v>
      </c>
      <c r="E914" s="1" t="s">
        <v>24</v>
      </c>
      <c r="F914" s="1" t="s">
        <v>135</v>
      </c>
      <c r="G914" s="1" t="s">
        <v>91</v>
      </c>
      <c r="H914" s="1" t="s">
        <v>13</v>
      </c>
      <c r="I914">
        <v>1275</v>
      </c>
      <c r="J914">
        <v>4081</v>
      </c>
      <c r="K914">
        <v>3469</v>
      </c>
      <c r="L914">
        <v>6130</v>
      </c>
      <c r="M914">
        <v>14955</v>
      </c>
      <c r="N914" s="2">
        <v>45719</v>
      </c>
      <c r="O914" s="2">
        <v>45729</v>
      </c>
      <c r="P914" s="1" t="s">
        <v>25</v>
      </c>
      <c r="Q914" s="1" t="s">
        <v>16</v>
      </c>
      <c r="R914" s="1" t="s">
        <v>22</v>
      </c>
      <c r="S914">
        <v>967</v>
      </c>
      <c r="T914" s="1" t="s">
        <v>2259</v>
      </c>
    </row>
    <row r="915" spans="1:20" x14ac:dyDescent="0.3">
      <c r="A915" s="1" t="s">
        <v>2260</v>
      </c>
      <c r="B915" s="1" t="s">
        <v>523</v>
      </c>
      <c r="C915">
        <v>71</v>
      </c>
      <c r="D915" s="1" t="s">
        <v>12</v>
      </c>
      <c r="E915" s="1" t="s">
        <v>24</v>
      </c>
      <c r="F915" s="1" t="s">
        <v>109</v>
      </c>
      <c r="G915" s="1" t="s">
        <v>91</v>
      </c>
      <c r="H915" s="1" t="s">
        <v>13</v>
      </c>
      <c r="I915">
        <v>1166</v>
      </c>
      <c r="J915">
        <v>2178</v>
      </c>
      <c r="K915">
        <v>627</v>
      </c>
      <c r="L915">
        <v>11818</v>
      </c>
      <c r="M915">
        <v>15789</v>
      </c>
      <c r="N915" s="2">
        <v>45948</v>
      </c>
      <c r="O915" s="2">
        <v>45688</v>
      </c>
      <c r="P915" s="1" t="s">
        <v>34</v>
      </c>
      <c r="Q915" s="1" t="s">
        <v>21</v>
      </c>
      <c r="R915" s="1" t="s">
        <v>17</v>
      </c>
      <c r="S915">
        <v>540</v>
      </c>
      <c r="T915" s="1" t="s">
        <v>2261</v>
      </c>
    </row>
    <row r="916" spans="1:20" x14ac:dyDescent="0.3">
      <c r="A916" s="1" t="s">
        <v>2262</v>
      </c>
      <c r="B916" s="1" t="s">
        <v>858</v>
      </c>
      <c r="C916">
        <v>80</v>
      </c>
      <c r="D916" s="1" t="s">
        <v>12</v>
      </c>
      <c r="E916" s="1" t="s">
        <v>38</v>
      </c>
      <c r="F916" s="1" t="s">
        <v>97</v>
      </c>
      <c r="G916" s="1" t="s">
        <v>85</v>
      </c>
      <c r="H916" s="1" t="s">
        <v>105</v>
      </c>
      <c r="I916">
        <v>610</v>
      </c>
      <c r="J916">
        <v>688</v>
      </c>
      <c r="K916">
        <v>4835</v>
      </c>
      <c r="L916">
        <v>10570</v>
      </c>
      <c r="M916">
        <v>16703</v>
      </c>
      <c r="N916" s="2">
        <v>45820</v>
      </c>
      <c r="O916" s="2">
        <v>45770</v>
      </c>
      <c r="P916" s="1" t="s">
        <v>25</v>
      </c>
      <c r="Q916" s="1" t="s">
        <v>16</v>
      </c>
      <c r="R916" s="1" t="s">
        <v>22</v>
      </c>
      <c r="S916">
        <v>193</v>
      </c>
      <c r="T916" s="1" t="s">
        <v>2263</v>
      </c>
    </row>
    <row r="917" spans="1:20" x14ac:dyDescent="0.3">
      <c r="A917" s="1" t="s">
        <v>2264</v>
      </c>
      <c r="B917" s="1" t="s">
        <v>1025</v>
      </c>
      <c r="C917">
        <v>63</v>
      </c>
      <c r="D917" s="1" t="s">
        <v>23</v>
      </c>
      <c r="E917" s="1" t="s">
        <v>40</v>
      </c>
      <c r="F917" s="1" t="s">
        <v>114</v>
      </c>
      <c r="G917" s="1" t="s">
        <v>91</v>
      </c>
      <c r="H917" s="1" t="s">
        <v>105</v>
      </c>
      <c r="I917">
        <v>1132</v>
      </c>
      <c r="J917">
        <v>2310</v>
      </c>
      <c r="K917">
        <v>2282</v>
      </c>
      <c r="L917">
        <v>8528</v>
      </c>
      <c r="M917">
        <v>14252</v>
      </c>
      <c r="N917" s="2">
        <v>45970</v>
      </c>
      <c r="O917" s="2">
        <v>45742</v>
      </c>
      <c r="P917" s="1" t="s">
        <v>25</v>
      </c>
      <c r="Q917" s="1" t="s">
        <v>16</v>
      </c>
      <c r="R917" s="1" t="s">
        <v>22</v>
      </c>
      <c r="S917">
        <v>344</v>
      </c>
      <c r="T917" s="1" t="s">
        <v>2265</v>
      </c>
    </row>
    <row r="918" spans="1:20" x14ac:dyDescent="0.3">
      <c r="A918" s="1" t="s">
        <v>2266</v>
      </c>
      <c r="B918" s="1" t="s">
        <v>708</v>
      </c>
      <c r="C918">
        <v>75</v>
      </c>
      <c r="D918" s="1" t="s">
        <v>12</v>
      </c>
      <c r="E918" s="1" t="s">
        <v>27</v>
      </c>
      <c r="F918" s="1" t="s">
        <v>135</v>
      </c>
      <c r="G918" s="1" t="s">
        <v>85</v>
      </c>
      <c r="H918" s="1" t="s">
        <v>115</v>
      </c>
      <c r="I918">
        <v>775</v>
      </c>
      <c r="J918">
        <v>1322</v>
      </c>
      <c r="K918">
        <v>7240</v>
      </c>
      <c r="L918">
        <v>2343</v>
      </c>
      <c r="M918">
        <v>11680</v>
      </c>
      <c r="N918" s="2">
        <v>45867</v>
      </c>
      <c r="O918" s="2">
        <v>46022</v>
      </c>
      <c r="P918" s="1" t="s">
        <v>116</v>
      </c>
      <c r="Q918" s="1" t="s">
        <v>9</v>
      </c>
      <c r="R918" s="1" t="s">
        <v>87</v>
      </c>
      <c r="S918">
        <v>868</v>
      </c>
      <c r="T918" s="1" t="s">
        <v>2267</v>
      </c>
    </row>
    <row r="919" spans="1:20" x14ac:dyDescent="0.3">
      <c r="A919" s="1" t="s">
        <v>2268</v>
      </c>
      <c r="B919" s="1" t="s">
        <v>505</v>
      </c>
      <c r="C919">
        <v>35</v>
      </c>
      <c r="D919" s="1" t="s">
        <v>23</v>
      </c>
      <c r="E919" s="1" t="s">
        <v>38</v>
      </c>
      <c r="F919" s="1" t="s">
        <v>135</v>
      </c>
      <c r="G919" s="1" t="s">
        <v>176</v>
      </c>
      <c r="H919" s="1" t="s">
        <v>199</v>
      </c>
      <c r="I919">
        <v>1373</v>
      </c>
      <c r="J919">
        <v>3304</v>
      </c>
      <c r="K919">
        <v>2938</v>
      </c>
      <c r="L919">
        <v>1339</v>
      </c>
      <c r="M919">
        <v>8954</v>
      </c>
      <c r="N919" s="2">
        <v>45913</v>
      </c>
      <c r="O919" s="2">
        <v>45917</v>
      </c>
      <c r="P919" s="1" t="s">
        <v>136</v>
      </c>
      <c r="Q919" s="1" t="s">
        <v>9</v>
      </c>
      <c r="R919" s="1" t="s">
        <v>87</v>
      </c>
      <c r="S919">
        <v>310</v>
      </c>
      <c r="T919" s="1" t="s">
        <v>2269</v>
      </c>
    </row>
    <row r="920" spans="1:20" x14ac:dyDescent="0.3">
      <c r="A920" s="1" t="s">
        <v>2270</v>
      </c>
      <c r="B920" s="1" t="s">
        <v>885</v>
      </c>
      <c r="C920">
        <v>77</v>
      </c>
      <c r="D920" s="1" t="s">
        <v>12</v>
      </c>
      <c r="E920" s="1" t="s">
        <v>36</v>
      </c>
      <c r="F920" s="1" t="s">
        <v>109</v>
      </c>
      <c r="G920" s="1" t="s">
        <v>85</v>
      </c>
      <c r="H920" s="1" t="s">
        <v>155</v>
      </c>
      <c r="I920">
        <v>724</v>
      </c>
      <c r="J920">
        <v>2285</v>
      </c>
      <c r="K920">
        <v>2874</v>
      </c>
      <c r="L920">
        <v>6787</v>
      </c>
      <c r="M920">
        <v>12670</v>
      </c>
      <c r="N920" s="2">
        <v>45865</v>
      </c>
      <c r="O920" s="2">
        <v>45798</v>
      </c>
      <c r="P920" s="1" t="s">
        <v>19</v>
      </c>
      <c r="Q920" s="1" t="s">
        <v>9</v>
      </c>
      <c r="R920" s="1" t="s">
        <v>87</v>
      </c>
      <c r="S920">
        <v>998</v>
      </c>
      <c r="T920" s="1" t="s">
        <v>2271</v>
      </c>
    </row>
    <row r="921" spans="1:20" x14ac:dyDescent="0.3">
      <c r="A921" s="1" t="s">
        <v>2272</v>
      </c>
      <c r="B921" s="1" t="s">
        <v>834</v>
      </c>
      <c r="C921">
        <v>32</v>
      </c>
      <c r="D921" s="1" t="s">
        <v>23</v>
      </c>
      <c r="E921" s="1" t="s">
        <v>27</v>
      </c>
      <c r="F921" s="1" t="s">
        <v>135</v>
      </c>
      <c r="G921" s="1" t="s">
        <v>125</v>
      </c>
      <c r="H921" s="1" t="s">
        <v>18</v>
      </c>
      <c r="I921">
        <v>1096</v>
      </c>
      <c r="J921">
        <v>3327</v>
      </c>
      <c r="K921">
        <v>3245</v>
      </c>
      <c r="L921">
        <v>7241</v>
      </c>
      <c r="M921">
        <v>14909</v>
      </c>
      <c r="N921" s="2">
        <v>45668</v>
      </c>
      <c r="O921" s="2">
        <v>45909</v>
      </c>
      <c r="P921" s="1" t="s">
        <v>93</v>
      </c>
      <c r="Q921" s="1" t="s">
        <v>16</v>
      </c>
      <c r="R921" s="1" t="s">
        <v>17</v>
      </c>
      <c r="S921">
        <v>361</v>
      </c>
      <c r="T921" s="1" t="s">
        <v>2273</v>
      </c>
    </row>
    <row r="922" spans="1:20" x14ac:dyDescent="0.3">
      <c r="A922" s="1" t="s">
        <v>2274</v>
      </c>
      <c r="B922" s="1" t="s">
        <v>202</v>
      </c>
      <c r="C922">
        <v>47</v>
      </c>
      <c r="D922" s="1" t="s">
        <v>12</v>
      </c>
      <c r="E922" s="1" t="s">
        <v>40</v>
      </c>
      <c r="F922" s="1" t="s">
        <v>135</v>
      </c>
      <c r="G922" s="1" t="s">
        <v>176</v>
      </c>
      <c r="H922" s="1" t="s">
        <v>145</v>
      </c>
      <c r="I922">
        <v>645</v>
      </c>
      <c r="J922">
        <v>2295</v>
      </c>
      <c r="K922">
        <v>7293</v>
      </c>
      <c r="L922">
        <v>10592</v>
      </c>
      <c r="M922">
        <v>20825</v>
      </c>
      <c r="N922" s="2">
        <v>45988</v>
      </c>
      <c r="O922" s="2">
        <v>45922</v>
      </c>
      <c r="P922" s="1" t="s">
        <v>136</v>
      </c>
      <c r="Q922" s="1" t="s">
        <v>16</v>
      </c>
      <c r="R922" s="1" t="s">
        <v>17</v>
      </c>
      <c r="S922">
        <v>473</v>
      </c>
      <c r="T922" s="1" t="s">
        <v>2275</v>
      </c>
    </row>
    <row r="923" spans="1:20" x14ac:dyDescent="0.3">
      <c r="A923" s="1" t="s">
        <v>2276</v>
      </c>
      <c r="B923" s="1" t="s">
        <v>890</v>
      </c>
      <c r="C923">
        <v>21</v>
      </c>
      <c r="D923" s="1" t="s">
        <v>23</v>
      </c>
      <c r="E923" s="1" t="s">
        <v>15</v>
      </c>
      <c r="F923" s="1" t="s">
        <v>103</v>
      </c>
      <c r="G923" s="1" t="s">
        <v>176</v>
      </c>
      <c r="H923" s="1" t="s">
        <v>165</v>
      </c>
      <c r="I923">
        <v>462</v>
      </c>
      <c r="J923">
        <v>4802</v>
      </c>
      <c r="K923">
        <v>7935</v>
      </c>
      <c r="L923">
        <v>5180</v>
      </c>
      <c r="M923">
        <v>18379</v>
      </c>
      <c r="N923" s="2">
        <v>45889</v>
      </c>
      <c r="O923" s="2">
        <v>45734</v>
      </c>
      <c r="P923" s="1" t="s">
        <v>14</v>
      </c>
      <c r="Q923" s="1" t="s">
        <v>9</v>
      </c>
      <c r="R923" s="1" t="s">
        <v>17</v>
      </c>
      <c r="S923">
        <v>991</v>
      </c>
      <c r="T923" s="1" t="s">
        <v>2277</v>
      </c>
    </row>
    <row r="924" spans="1:20" x14ac:dyDescent="0.3">
      <c r="A924" s="1" t="s">
        <v>2278</v>
      </c>
      <c r="B924" s="1" t="s">
        <v>2279</v>
      </c>
      <c r="C924">
        <v>53</v>
      </c>
      <c r="D924" s="1" t="s">
        <v>12</v>
      </c>
      <c r="E924" s="1" t="s">
        <v>36</v>
      </c>
      <c r="F924" s="1" t="s">
        <v>109</v>
      </c>
      <c r="G924" s="1" t="s">
        <v>98</v>
      </c>
      <c r="H924" s="1" t="s">
        <v>37</v>
      </c>
      <c r="I924">
        <v>774</v>
      </c>
      <c r="J924">
        <v>1255</v>
      </c>
      <c r="K924">
        <v>5386</v>
      </c>
      <c r="L924">
        <v>1854</v>
      </c>
      <c r="M924">
        <v>9269</v>
      </c>
      <c r="N924" s="2">
        <v>45951</v>
      </c>
      <c r="O924" s="2">
        <v>45993</v>
      </c>
      <c r="P924" s="1" t="s">
        <v>25</v>
      </c>
      <c r="Q924" s="1" t="s">
        <v>9</v>
      </c>
      <c r="R924" s="1" t="s">
        <v>17</v>
      </c>
      <c r="S924">
        <v>271</v>
      </c>
      <c r="T924" s="1" t="s">
        <v>2280</v>
      </c>
    </row>
    <row r="925" spans="1:20" x14ac:dyDescent="0.3">
      <c r="A925" s="1" t="s">
        <v>2281</v>
      </c>
      <c r="B925" s="1" t="s">
        <v>2282</v>
      </c>
      <c r="C925">
        <v>78</v>
      </c>
      <c r="D925" s="1" t="s">
        <v>23</v>
      </c>
      <c r="E925" s="1" t="s">
        <v>15</v>
      </c>
      <c r="F925" s="1" t="s">
        <v>114</v>
      </c>
      <c r="G925" s="1" t="s">
        <v>85</v>
      </c>
      <c r="H925" s="1" t="s">
        <v>13</v>
      </c>
      <c r="I925">
        <v>851</v>
      </c>
      <c r="J925">
        <v>1964</v>
      </c>
      <c r="K925">
        <v>4674</v>
      </c>
      <c r="L925">
        <v>3033</v>
      </c>
      <c r="M925">
        <v>10522</v>
      </c>
      <c r="N925" s="2">
        <v>45894</v>
      </c>
      <c r="O925" s="2">
        <v>45941</v>
      </c>
      <c r="P925" s="1" t="s">
        <v>177</v>
      </c>
      <c r="Q925" s="1" t="s">
        <v>31</v>
      </c>
      <c r="R925" s="1" t="s">
        <v>22</v>
      </c>
      <c r="S925">
        <v>905</v>
      </c>
      <c r="T925" s="1" t="s">
        <v>2283</v>
      </c>
    </row>
    <row r="926" spans="1:20" x14ac:dyDescent="0.3">
      <c r="A926" s="1" t="s">
        <v>2284</v>
      </c>
      <c r="B926" s="1" t="s">
        <v>50</v>
      </c>
      <c r="C926">
        <v>35</v>
      </c>
      <c r="D926" s="1" t="s">
        <v>23</v>
      </c>
      <c r="E926" s="1" t="s">
        <v>20</v>
      </c>
      <c r="F926" s="1" t="s">
        <v>103</v>
      </c>
      <c r="G926" s="1" t="s">
        <v>98</v>
      </c>
      <c r="H926" s="1" t="s">
        <v>155</v>
      </c>
      <c r="I926">
        <v>576</v>
      </c>
      <c r="J926">
        <v>1868</v>
      </c>
      <c r="K926">
        <v>696</v>
      </c>
      <c r="L926">
        <v>8685</v>
      </c>
      <c r="M926">
        <v>11825</v>
      </c>
      <c r="N926" s="2">
        <v>45737</v>
      </c>
      <c r="O926" s="2">
        <v>45725</v>
      </c>
      <c r="P926" s="1" t="s">
        <v>19</v>
      </c>
      <c r="Q926" s="1" t="s">
        <v>21</v>
      </c>
      <c r="R926" s="1" t="s">
        <v>17</v>
      </c>
      <c r="S926">
        <v>351</v>
      </c>
      <c r="T926" s="1" t="s">
        <v>2285</v>
      </c>
    </row>
    <row r="927" spans="1:20" x14ac:dyDescent="0.3">
      <c r="A927" s="1" t="s">
        <v>2286</v>
      </c>
      <c r="B927" s="1" t="s">
        <v>840</v>
      </c>
      <c r="C927">
        <v>32</v>
      </c>
      <c r="D927" s="1" t="s">
        <v>23</v>
      </c>
      <c r="E927" s="1" t="s">
        <v>38</v>
      </c>
      <c r="F927" s="1" t="s">
        <v>103</v>
      </c>
      <c r="G927" s="1" t="s">
        <v>98</v>
      </c>
      <c r="H927" s="1" t="s">
        <v>37</v>
      </c>
      <c r="I927">
        <v>1072</v>
      </c>
      <c r="J927">
        <v>1613</v>
      </c>
      <c r="K927">
        <v>304</v>
      </c>
      <c r="L927">
        <v>5705</v>
      </c>
      <c r="M927">
        <v>8694</v>
      </c>
      <c r="N927" s="2">
        <v>45893</v>
      </c>
      <c r="O927" s="2">
        <v>45928</v>
      </c>
      <c r="P927" s="1" t="s">
        <v>116</v>
      </c>
      <c r="Q927" s="1" t="s">
        <v>9</v>
      </c>
      <c r="R927" s="1" t="s">
        <v>87</v>
      </c>
      <c r="S927">
        <v>577</v>
      </c>
      <c r="T927" s="1" t="s">
        <v>2287</v>
      </c>
    </row>
    <row r="928" spans="1:20" x14ac:dyDescent="0.3">
      <c r="A928" s="1" t="s">
        <v>2288</v>
      </c>
      <c r="B928" s="1" t="s">
        <v>687</v>
      </c>
      <c r="C928">
        <v>78</v>
      </c>
      <c r="D928" s="1" t="s">
        <v>12</v>
      </c>
      <c r="E928" s="1" t="s">
        <v>24</v>
      </c>
      <c r="F928" s="1" t="s">
        <v>124</v>
      </c>
      <c r="G928" s="1" t="s">
        <v>98</v>
      </c>
      <c r="H928" s="1" t="s">
        <v>199</v>
      </c>
      <c r="I928">
        <v>641</v>
      </c>
      <c r="J928">
        <v>4621</v>
      </c>
      <c r="K928">
        <v>7328</v>
      </c>
      <c r="L928">
        <v>9187</v>
      </c>
      <c r="M928">
        <v>21777</v>
      </c>
      <c r="N928" s="2">
        <v>45722</v>
      </c>
      <c r="O928" s="2">
        <v>45676</v>
      </c>
      <c r="P928" s="1" t="s">
        <v>19</v>
      </c>
      <c r="Q928" s="1" t="s">
        <v>21</v>
      </c>
      <c r="R928" s="1" t="s">
        <v>17</v>
      </c>
      <c r="S928">
        <v>218</v>
      </c>
      <c r="T928" s="1" t="s">
        <v>2289</v>
      </c>
    </row>
    <row r="929" spans="1:20" x14ac:dyDescent="0.3">
      <c r="A929" s="1" t="s">
        <v>2290</v>
      </c>
      <c r="B929" s="1" t="s">
        <v>51</v>
      </c>
      <c r="C929">
        <v>49</v>
      </c>
      <c r="D929" s="1" t="s">
        <v>12</v>
      </c>
      <c r="E929" s="1" t="s">
        <v>15</v>
      </c>
      <c r="F929" s="1" t="s">
        <v>97</v>
      </c>
      <c r="G929" s="1" t="s">
        <v>125</v>
      </c>
      <c r="H929" s="1" t="s">
        <v>18</v>
      </c>
      <c r="I929">
        <v>944</v>
      </c>
      <c r="J929">
        <v>4491</v>
      </c>
      <c r="K929">
        <v>1927</v>
      </c>
      <c r="L929">
        <v>13293</v>
      </c>
      <c r="M929">
        <v>20655</v>
      </c>
      <c r="N929" s="2">
        <v>45666</v>
      </c>
      <c r="O929" s="2">
        <v>45768</v>
      </c>
      <c r="P929" s="1" t="s">
        <v>93</v>
      </c>
      <c r="Q929" s="1" t="s">
        <v>31</v>
      </c>
      <c r="R929" s="1" t="s">
        <v>87</v>
      </c>
      <c r="S929">
        <v>912</v>
      </c>
      <c r="T929" s="1" t="s">
        <v>2291</v>
      </c>
    </row>
    <row r="930" spans="1:20" x14ac:dyDescent="0.3">
      <c r="A930" s="1" t="s">
        <v>2292</v>
      </c>
      <c r="B930" s="1" t="s">
        <v>2293</v>
      </c>
      <c r="C930">
        <v>19</v>
      </c>
      <c r="D930" s="1" t="s">
        <v>23</v>
      </c>
      <c r="E930" s="1" t="s">
        <v>40</v>
      </c>
      <c r="F930" s="1" t="s">
        <v>84</v>
      </c>
      <c r="G930" s="1" t="s">
        <v>125</v>
      </c>
      <c r="H930" s="1" t="s">
        <v>92</v>
      </c>
      <c r="I930">
        <v>817</v>
      </c>
      <c r="J930">
        <v>4487</v>
      </c>
      <c r="K930">
        <v>3570</v>
      </c>
      <c r="L930">
        <v>8640</v>
      </c>
      <c r="M930">
        <v>17514</v>
      </c>
      <c r="N930" s="2">
        <v>46022</v>
      </c>
      <c r="O930" s="2">
        <v>45896</v>
      </c>
      <c r="P930" s="1" t="s">
        <v>177</v>
      </c>
      <c r="Q930" s="1" t="s">
        <v>31</v>
      </c>
      <c r="R930" s="1" t="s">
        <v>17</v>
      </c>
      <c r="S930">
        <v>152</v>
      </c>
      <c r="T930" s="1" t="s">
        <v>2294</v>
      </c>
    </row>
    <row r="931" spans="1:20" x14ac:dyDescent="0.3">
      <c r="A931" s="1" t="s">
        <v>2295</v>
      </c>
      <c r="B931" s="1" t="s">
        <v>1257</v>
      </c>
      <c r="C931">
        <v>38</v>
      </c>
      <c r="D931" s="1" t="s">
        <v>12</v>
      </c>
      <c r="E931" s="1" t="s">
        <v>36</v>
      </c>
      <c r="F931" s="1" t="s">
        <v>103</v>
      </c>
      <c r="G931" s="1" t="s">
        <v>91</v>
      </c>
      <c r="H931" s="1" t="s">
        <v>99</v>
      </c>
      <c r="I931">
        <v>1252</v>
      </c>
      <c r="J931">
        <v>3666</v>
      </c>
      <c r="K931">
        <v>7566</v>
      </c>
      <c r="L931">
        <v>11705</v>
      </c>
      <c r="M931">
        <v>24189</v>
      </c>
      <c r="N931" s="2">
        <v>45879</v>
      </c>
      <c r="O931" s="2">
        <v>45697</v>
      </c>
      <c r="P931" s="1" t="s">
        <v>136</v>
      </c>
      <c r="Q931" s="1" t="s">
        <v>9</v>
      </c>
      <c r="R931" s="1" t="s">
        <v>22</v>
      </c>
      <c r="S931">
        <v>989</v>
      </c>
      <c r="T931" s="1" t="s">
        <v>2296</v>
      </c>
    </row>
    <row r="932" spans="1:20" x14ac:dyDescent="0.3">
      <c r="A932" s="1" t="s">
        <v>2297</v>
      </c>
      <c r="B932" s="1" t="s">
        <v>65</v>
      </c>
      <c r="C932">
        <v>46</v>
      </c>
      <c r="D932" s="1" t="s">
        <v>12</v>
      </c>
      <c r="E932" s="1" t="s">
        <v>36</v>
      </c>
      <c r="F932" s="1" t="s">
        <v>84</v>
      </c>
      <c r="G932" s="1" t="s">
        <v>158</v>
      </c>
      <c r="H932" s="1" t="s">
        <v>26</v>
      </c>
      <c r="I932">
        <v>1337</v>
      </c>
      <c r="J932">
        <v>1859</v>
      </c>
      <c r="K932">
        <v>390</v>
      </c>
      <c r="L932">
        <v>2659</v>
      </c>
      <c r="M932">
        <v>6245</v>
      </c>
      <c r="N932" s="2">
        <v>45732</v>
      </c>
      <c r="O932" s="2">
        <v>46022</v>
      </c>
      <c r="P932" s="1" t="s">
        <v>110</v>
      </c>
      <c r="Q932" s="1" t="s">
        <v>16</v>
      </c>
      <c r="R932" s="1" t="s">
        <v>87</v>
      </c>
      <c r="S932">
        <v>323</v>
      </c>
      <c r="T932" s="1" t="s">
        <v>2298</v>
      </c>
    </row>
    <row r="933" spans="1:20" x14ac:dyDescent="0.3">
      <c r="A933" s="1" t="s">
        <v>2299</v>
      </c>
      <c r="B933" s="1" t="s">
        <v>687</v>
      </c>
      <c r="C933">
        <v>4</v>
      </c>
      <c r="D933" s="1" t="s">
        <v>12</v>
      </c>
      <c r="E933" s="1" t="s">
        <v>24</v>
      </c>
      <c r="F933" s="1" t="s">
        <v>120</v>
      </c>
      <c r="G933" s="1" t="s">
        <v>125</v>
      </c>
      <c r="H933" s="1" t="s">
        <v>186</v>
      </c>
      <c r="I933">
        <v>1242</v>
      </c>
      <c r="J933">
        <v>3342</v>
      </c>
      <c r="K933">
        <v>5393</v>
      </c>
      <c r="L933">
        <v>6350</v>
      </c>
      <c r="M933">
        <v>16327</v>
      </c>
      <c r="N933" s="2">
        <v>45803</v>
      </c>
      <c r="O933" s="2">
        <v>45846</v>
      </c>
      <c r="P933" s="1" t="s">
        <v>34</v>
      </c>
      <c r="Q933" s="1" t="s">
        <v>9</v>
      </c>
      <c r="R933" s="1" t="s">
        <v>17</v>
      </c>
      <c r="S933">
        <v>881</v>
      </c>
      <c r="T933" s="1" t="s">
        <v>2300</v>
      </c>
    </row>
    <row r="934" spans="1:20" x14ac:dyDescent="0.3">
      <c r="A934" s="1" t="s">
        <v>2301</v>
      </c>
      <c r="B934" s="1" t="s">
        <v>2302</v>
      </c>
      <c r="C934">
        <v>73</v>
      </c>
      <c r="D934" s="1" t="s">
        <v>23</v>
      </c>
      <c r="E934" s="1" t="s">
        <v>15</v>
      </c>
      <c r="F934" s="1" t="s">
        <v>109</v>
      </c>
      <c r="G934" s="1" t="s">
        <v>176</v>
      </c>
      <c r="H934" s="1" t="s">
        <v>155</v>
      </c>
      <c r="I934">
        <v>976</v>
      </c>
      <c r="J934">
        <v>4103</v>
      </c>
      <c r="K934">
        <v>6292</v>
      </c>
      <c r="L934">
        <v>12838</v>
      </c>
      <c r="M934">
        <v>24209</v>
      </c>
      <c r="N934" s="2">
        <v>45983</v>
      </c>
      <c r="O934" s="2">
        <v>45794</v>
      </c>
      <c r="P934" s="1" t="s">
        <v>25</v>
      </c>
      <c r="Q934" s="1" t="s">
        <v>31</v>
      </c>
      <c r="R934" s="1" t="s">
        <v>22</v>
      </c>
      <c r="S934">
        <v>731</v>
      </c>
      <c r="T934" s="1" t="s">
        <v>2303</v>
      </c>
    </row>
    <row r="935" spans="1:20" x14ac:dyDescent="0.3">
      <c r="A935" s="1" t="s">
        <v>2304</v>
      </c>
      <c r="B935" s="1" t="s">
        <v>837</v>
      </c>
      <c r="C935">
        <v>29</v>
      </c>
      <c r="D935" s="1" t="s">
        <v>23</v>
      </c>
      <c r="E935" s="1" t="s">
        <v>15</v>
      </c>
      <c r="F935" s="1" t="s">
        <v>103</v>
      </c>
      <c r="G935" s="1" t="s">
        <v>125</v>
      </c>
      <c r="H935" s="1" t="s">
        <v>26</v>
      </c>
      <c r="I935">
        <v>324</v>
      </c>
      <c r="J935">
        <v>1589</v>
      </c>
      <c r="K935">
        <v>1893</v>
      </c>
      <c r="L935">
        <v>7854</v>
      </c>
      <c r="M935">
        <v>11660</v>
      </c>
      <c r="N935" s="2">
        <v>45949</v>
      </c>
      <c r="O935" s="2">
        <v>45757</v>
      </c>
      <c r="P935" s="1" t="s">
        <v>93</v>
      </c>
      <c r="Q935" s="1" t="s">
        <v>21</v>
      </c>
      <c r="R935" s="1" t="s">
        <v>22</v>
      </c>
      <c r="S935">
        <v>100</v>
      </c>
      <c r="T935" s="1" t="s">
        <v>2305</v>
      </c>
    </row>
    <row r="936" spans="1:20" x14ac:dyDescent="0.3">
      <c r="A936" s="1" t="s">
        <v>2306</v>
      </c>
      <c r="B936" s="1" t="s">
        <v>1254</v>
      </c>
      <c r="C936">
        <v>34</v>
      </c>
      <c r="D936" s="1" t="s">
        <v>12</v>
      </c>
      <c r="E936" s="1" t="s">
        <v>27</v>
      </c>
      <c r="F936" s="1" t="s">
        <v>114</v>
      </c>
      <c r="G936" s="1" t="s">
        <v>176</v>
      </c>
      <c r="H936" s="1" t="s">
        <v>105</v>
      </c>
      <c r="I936">
        <v>1259</v>
      </c>
      <c r="J936">
        <v>1856</v>
      </c>
      <c r="K936">
        <v>7876</v>
      </c>
      <c r="L936">
        <v>12020</v>
      </c>
      <c r="M936">
        <v>23011</v>
      </c>
      <c r="N936" s="2">
        <v>45910</v>
      </c>
      <c r="O936" s="2">
        <v>45716</v>
      </c>
      <c r="P936" s="1" t="s">
        <v>35</v>
      </c>
      <c r="Q936" s="1" t="s">
        <v>21</v>
      </c>
      <c r="R936" s="1" t="s">
        <v>87</v>
      </c>
      <c r="S936">
        <v>845</v>
      </c>
      <c r="T936" s="1" t="s">
        <v>2307</v>
      </c>
    </row>
    <row r="937" spans="1:20" x14ac:dyDescent="0.3">
      <c r="A937" s="1" t="s">
        <v>2308</v>
      </c>
      <c r="B937" s="1" t="s">
        <v>2309</v>
      </c>
      <c r="C937">
        <v>74</v>
      </c>
      <c r="D937" s="1" t="s">
        <v>12</v>
      </c>
      <c r="E937" s="1" t="s">
        <v>38</v>
      </c>
      <c r="F937" s="1" t="s">
        <v>97</v>
      </c>
      <c r="G937" s="1" t="s">
        <v>125</v>
      </c>
      <c r="H937" s="1" t="s">
        <v>86</v>
      </c>
      <c r="I937">
        <v>1365</v>
      </c>
      <c r="J937">
        <v>2785</v>
      </c>
      <c r="K937">
        <v>6904</v>
      </c>
      <c r="L937">
        <v>10729</v>
      </c>
      <c r="M937">
        <v>21783</v>
      </c>
      <c r="N937" s="2">
        <v>45783</v>
      </c>
      <c r="O937" s="2">
        <v>45773</v>
      </c>
      <c r="P937" s="1" t="s">
        <v>34</v>
      </c>
      <c r="Q937" s="1" t="s">
        <v>21</v>
      </c>
      <c r="R937" s="1" t="s">
        <v>17</v>
      </c>
      <c r="S937">
        <v>621</v>
      </c>
      <c r="T937" s="1" t="s">
        <v>2310</v>
      </c>
    </row>
    <row r="938" spans="1:20" x14ac:dyDescent="0.3">
      <c r="A938" s="1" t="s">
        <v>2311</v>
      </c>
      <c r="B938" s="1" t="s">
        <v>66</v>
      </c>
      <c r="C938">
        <v>7</v>
      </c>
      <c r="D938" s="1" t="s">
        <v>12</v>
      </c>
      <c r="E938" s="1" t="s">
        <v>15</v>
      </c>
      <c r="F938" s="1" t="s">
        <v>124</v>
      </c>
      <c r="G938" s="1" t="s">
        <v>158</v>
      </c>
      <c r="H938" s="1" t="s">
        <v>13</v>
      </c>
      <c r="I938">
        <v>603</v>
      </c>
      <c r="J938">
        <v>2331</v>
      </c>
      <c r="K938">
        <v>7218</v>
      </c>
      <c r="L938">
        <v>13836</v>
      </c>
      <c r="M938">
        <v>23988</v>
      </c>
      <c r="N938" s="2">
        <v>45770</v>
      </c>
      <c r="O938" s="2">
        <v>45785</v>
      </c>
      <c r="P938" s="1" t="s">
        <v>116</v>
      </c>
      <c r="Q938" s="1" t="s">
        <v>21</v>
      </c>
      <c r="R938" s="1" t="s">
        <v>17</v>
      </c>
      <c r="S938">
        <v>860</v>
      </c>
      <c r="T938" s="1" t="s">
        <v>2312</v>
      </c>
    </row>
    <row r="939" spans="1:20" x14ac:dyDescent="0.3">
      <c r="A939" s="1" t="s">
        <v>2313</v>
      </c>
      <c r="B939" s="1" t="s">
        <v>1135</v>
      </c>
      <c r="C939">
        <v>43</v>
      </c>
      <c r="D939" s="1" t="s">
        <v>12</v>
      </c>
      <c r="E939" s="1" t="s">
        <v>38</v>
      </c>
      <c r="F939" s="1" t="s">
        <v>114</v>
      </c>
      <c r="G939" s="1" t="s">
        <v>125</v>
      </c>
      <c r="H939" s="1" t="s">
        <v>105</v>
      </c>
      <c r="I939">
        <v>632</v>
      </c>
      <c r="J939">
        <v>4441</v>
      </c>
      <c r="K939">
        <v>7905</v>
      </c>
      <c r="L939">
        <v>11860</v>
      </c>
      <c r="M939">
        <v>24838</v>
      </c>
      <c r="N939" s="2">
        <v>45691</v>
      </c>
      <c r="O939" s="2">
        <v>45818</v>
      </c>
      <c r="P939" s="1" t="s">
        <v>34</v>
      </c>
      <c r="Q939" s="1" t="s">
        <v>9</v>
      </c>
      <c r="R939" s="1" t="s">
        <v>22</v>
      </c>
      <c r="S939">
        <v>524</v>
      </c>
      <c r="T939" s="1" t="s">
        <v>2314</v>
      </c>
    </row>
    <row r="940" spans="1:20" x14ac:dyDescent="0.3">
      <c r="A940" s="1" t="s">
        <v>2315</v>
      </c>
      <c r="B940" s="1" t="s">
        <v>1986</v>
      </c>
      <c r="C940">
        <v>48</v>
      </c>
      <c r="D940" s="1" t="s">
        <v>23</v>
      </c>
      <c r="E940" s="1" t="s">
        <v>38</v>
      </c>
      <c r="F940" s="1" t="s">
        <v>124</v>
      </c>
      <c r="G940" s="1" t="s">
        <v>176</v>
      </c>
      <c r="H940" s="1" t="s">
        <v>105</v>
      </c>
      <c r="I940">
        <v>1296</v>
      </c>
      <c r="J940">
        <v>4529</v>
      </c>
      <c r="K940">
        <v>7900</v>
      </c>
      <c r="L940">
        <v>7493</v>
      </c>
      <c r="M940">
        <v>21218</v>
      </c>
      <c r="N940" s="2">
        <v>45959</v>
      </c>
      <c r="O940" s="2">
        <v>45767</v>
      </c>
      <c r="P940" s="1" t="s">
        <v>93</v>
      </c>
      <c r="Q940" s="1" t="s">
        <v>31</v>
      </c>
      <c r="R940" s="1" t="s">
        <v>17</v>
      </c>
      <c r="S940">
        <v>349</v>
      </c>
      <c r="T940" s="1" t="s">
        <v>2316</v>
      </c>
    </row>
    <row r="941" spans="1:20" x14ac:dyDescent="0.3">
      <c r="A941" s="1" t="s">
        <v>2317</v>
      </c>
      <c r="B941" s="1" t="s">
        <v>713</v>
      </c>
      <c r="C941">
        <v>21</v>
      </c>
      <c r="D941" s="1" t="s">
        <v>12</v>
      </c>
      <c r="E941" s="1" t="s">
        <v>38</v>
      </c>
      <c r="F941" s="1" t="s">
        <v>120</v>
      </c>
      <c r="G941" s="1" t="s">
        <v>125</v>
      </c>
      <c r="H941" s="1" t="s">
        <v>37</v>
      </c>
      <c r="I941">
        <v>506</v>
      </c>
      <c r="J941">
        <v>1172</v>
      </c>
      <c r="K941">
        <v>974</v>
      </c>
      <c r="L941">
        <v>14044</v>
      </c>
      <c r="M941">
        <v>16696</v>
      </c>
      <c r="N941" s="2">
        <v>45662</v>
      </c>
      <c r="O941" s="2">
        <v>45734</v>
      </c>
      <c r="P941" s="1" t="s">
        <v>110</v>
      </c>
      <c r="Q941" s="1" t="s">
        <v>16</v>
      </c>
      <c r="R941" s="1" t="s">
        <v>87</v>
      </c>
      <c r="S941">
        <v>763</v>
      </c>
      <c r="T941" s="1" t="s">
        <v>2318</v>
      </c>
    </row>
    <row r="942" spans="1:20" x14ac:dyDescent="0.3">
      <c r="A942" s="1" t="s">
        <v>2319</v>
      </c>
      <c r="B942" s="1" t="s">
        <v>1767</v>
      </c>
      <c r="C942">
        <v>61</v>
      </c>
      <c r="D942" s="1" t="s">
        <v>23</v>
      </c>
      <c r="E942" s="1" t="s">
        <v>24</v>
      </c>
      <c r="F942" s="1" t="s">
        <v>103</v>
      </c>
      <c r="G942" s="1" t="s">
        <v>158</v>
      </c>
      <c r="H942" s="1" t="s">
        <v>86</v>
      </c>
      <c r="I942">
        <v>896</v>
      </c>
      <c r="J942">
        <v>3504</v>
      </c>
      <c r="K942">
        <v>5860</v>
      </c>
      <c r="L942">
        <v>12233</v>
      </c>
      <c r="M942">
        <v>22493</v>
      </c>
      <c r="N942" s="2">
        <v>46016</v>
      </c>
      <c r="O942" s="2">
        <v>45840</v>
      </c>
      <c r="P942" s="1" t="s">
        <v>136</v>
      </c>
      <c r="Q942" s="1" t="s">
        <v>31</v>
      </c>
      <c r="R942" s="1" t="s">
        <v>17</v>
      </c>
      <c r="S942">
        <v>438</v>
      </c>
      <c r="T942" s="1" t="s">
        <v>2320</v>
      </c>
    </row>
    <row r="943" spans="1:20" x14ac:dyDescent="0.3">
      <c r="A943" s="1" t="s">
        <v>2321</v>
      </c>
      <c r="B943" s="1" t="s">
        <v>2322</v>
      </c>
      <c r="C943">
        <v>11</v>
      </c>
      <c r="D943" s="1" t="s">
        <v>23</v>
      </c>
      <c r="E943" s="1" t="s">
        <v>36</v>
      </c>
      <c r="F943" s="1" t="s">
        <v>103</v>
      </c>
      <c r="G943" s="1" t="s">
        <v>98</v>
      </c>
      <c r="H943" s="1" t="s">
        <v>115</v>
      </c>
      <c r="I943">
        <v>648</v>
      </c>
      <c r="J943">
        <v>3701</v>
      </c>
      <c r="K943">
        <v>7051</v>
      </c>
      <c r="L943">
        <v>9034</v>
      </c>
      <c r="M943">
        <v>20434</v>
      </c>
      <c r="N943" s="2">
        <v>45713</v>
      </c>
      <c r="O943" s="2">
        <v>45794</v>
      </c>
      <c r="P943" s="1" t="s">
        <v>136</v>
      </c>
      <c r="Q943" s="1" t="s">
        <v>16</v>
      </c>
      <c r="R943" s="1" t="s">
        <v>87</v>
      </c>
      <c r="S943">
        <v>391</v>
      </c>
      <c r="T943" s="1" t="s">
        <v>2323</v>
      </c>
    </row>
    <row r="944" spans="1:20" x14ac:dyDescent="0.3">
      <c r="A944" s="1" t="s">
        <v>2324</v>
      </c>
      <c r="B944" s="1" t="s">
        <v>407</v>
      </c>
      <c r="C944">
        <v>78</v>
      </c>
      <c r="D944" s="1" t="s">
        <v>12</v>
      </c>
      <c r="E944" s="1" t="s">
        <v>15</v>
      </c>
      <c r="F944" s="1" t="s">
        <v>109</v>
      </c>
      <c r="G944" s="1" t="s">
        <v>104</v>
      </c>
      <c r="H944" s="1" t="s">
        <v>13</v>
      </c>
      <c r="I944">
        <v>1316</v>
      </c>
      <c r="J944">
        <v>2333</v>
      </c>
      <c r="K944">
        <v>5944</v>
      </c>
      <c r="L944">
        <v>5648</v>
      </c>
      <c r="M944">
        <v>15241</v>
      </c>
      <c r="N944" s="2">
        <v>45674</v>
      </c>
      <c r="O944" s="2">
        <v>45859</v>
      </c>
      <c r="P944" s="1" t="s">
        <v>177</v>
      </c>
      <c r="Q944" s="1" t="s">
        <v>9</v>
      </c>
      <c r="R944" s="1" t="s">
        <v>17</v>
      </c>
      <c r="S944">
        <v>467</v>
      </c>
      <c r="T944" s="1" t="s">
        <v>2325</v>
      </c>
    </row>
    <row r="945" spans="1:20" x14ac:dyDescent="0.3">
      <c r="A945" s="1" t="s">
        <v>2326</v>
      </c>
      <c r="B945" s="1" t="s">
        <v>415</v>
      </c>
      <c r="C945">
        <v>84</v>
      </c>
      <c r="D945" s="1" t="s">
        <v>12</v>
      </c>
      <c r="E945" s="1" t="s">
        <v>33</v>
      </c>
      <c r="F945" s="1" t="s">
        <v>120</v>
      </c>
      <c r="G945" s="1" t="s">
        <v>158</v>
      </c>
      <c r="H945" s="1" t="s">
        <v>105</v>
      </c>
      <c r="I945">
        <v>933</v>
      </c>
      <c r="J945">
        <v>3175</v>
      </c>
      <c r="K945">
        <v>2024</v>
      </c>
      <c r="L945">
        <v>4943</v>
      </c>
      <c r="M945">
        <v>11075</v>
      </c>
      <c r="N945" s="2">
        <v>45894</v>
      </c>
      <c r="O945" s="2">
        <v>45734</v>
      </c>
      <c r="P945" s="1" t="s">
        <v>25</v>
      </c>
      <c r="Q945" s="1" t="s">
        <v>16</v>
      </c>
      <c r="R945" s="1" t="s">
        <v>87</v>
      </c>
      <c r="S945">
        <v>996</v>
      </c>
      <c r="T945" s="1" t="s">
        <v>2327</v>
      </c>
    </row>
    <row r="946" spans="1:20" x14ac:dyDescent="0.3">
      <c r="A946" s="1" t="s">
        <v>2328</v>
      </c>
      <c r="B946" s="1" t="s">
        <v>1257</v>
      </c>
      <c r="C946">
        <v>58</v>
      </c>
      <c r="D946" s="1" t="s">
        <v>23</v>
      </c>
      <c r="E946" s="1" t="s">
        <v>38</v>
      </c>
      <c r="F946" s="1" t="s">
        <v>109</v>
      </c>
      <c r="G946" s="1" t="s">
        <v>125</v>
      </c>
      <c r="H946" s="1" t="s">
        <v>37</v>
      </c>
      <c r="I946">
        <v>878</v>
      </c>
      <c r="J946">
        <v>3225</v>
      </c>
      <c r="K946">
        <v>5933</v>
      </c>
      <c r="L946">
        <v>6242</v>
      </c>
      <c r="M946">
        <v>16278</v>
      </c>
      <c r="N946" s="2">
        <v>45954</v>
      </c>
      <c r="O946" s="2">
        <v>45780</v>
      </c>
      <c r="P946" s="1" t="s">
        <v>116</v>
      </c>
      <c r="Q946" s="1" t="s">
        <v>16</v>
      </c>
      <c r="R946" s="1" t="s">
        <v>87</v>
      </c>
      <c r="S946">
        <v>784</v>
      </c>
      <c r="T946" s="1" t="s">
        <v>2329</v>
      </c>
    </row>
    <row r="947" spans="1:20" x14ac:dyDescent="0.3">
      <c r="A947" s="1" t="s">
        <v>2330</v>
      </c>
      <c r="B947" s="1" t="s">
        <v>2331</v>
      </c>
      <c r="C947">
        <v>39</v>
      </c>
      <c r="D947" s="1" t="s">
        <v>23</v>
      </c>
      <c r="E947" s="1" t="s">
        <v>33</v>
      </c>
      <c r="F947" s="1" t="s">
        <v>135</v>
      </c>
      <c r="G947" s="1" t="s">
        <v>176</v>
      </c>
      <c r="H947" s="1" t="s">
        <v>29</v>
      </c>
      <c r="I947">
        <v>1045</v>
      </c>
      <c r="J947">
        <v>1782</v>
      </c>
      <c r="K947">
        <v>3501</v>
      </c>
      <c r="L947">
        <v>4137</v>
      </c>
      <c r="M947">
        <v>10465</v>
      </c>
      <c r="N947" s="2">
        <v>45834</v>
      </c>
      <c r="O947" s="2">
        <v>45691</v>
      </c>
      <c r="P947" s="1" t="s">
        <v>34</v>
      </c>
      <c r="Q947" s="1" t="s">
        <v>21</v>
      </c>
      <c r="R947" s="1" t="s">
        <v>17</v>
      </c>
      <c r="S947">
        <v>291</v>
      </c>
      <c r="T947" s="1" t="s">
        <v>2332</v>
      </c>
    </row>
    <row r="948" spans="1:20" x14ac:dyDescent="0.3">
      <c r="A948" s="1" t="s">
        <v>2333</v>
      </c>
      <c r="B948" s="1" t="s">
        <v>314</v>
      </c>
      <c r="C948">
        <v>85</v>
      </c>
      <c r="D948" s="1" t="s">
        <v>12</v>
      </c>
      <c r="E948" s="1" t="s">
        <v>15</v>
      </c>
      <c r="F948" s="1" t="s">
        <v>97</v>
      </c>
      <c r="G948" s="1" t="s">
        <v>158</v>
      </c>
      <c r="H948" s="1" t="s">
        <v>92</v>
      </c>
      <c r="I948">
        <v>572</v>
      </c>
      <c r="J948">
        <v>3178</v>
      </c>
      <c r="K948">
        <v>6405</v>
      </c>
      <c r="L948">
        <v>12589</v>
      </c>
      <c r="M948">
        <v>22744</v>
      </c>
      <c r="N948" s="2">
        <v>45874</v>
      </c>
      <c r="O948" s="2">
        <v>45995</v>
      </c>
      <c r="P948" s="1" t="s">
        <v>177</v>
      </c>
      <c r="Q948" s="1" t="s">
        <v>31</v>
      </c>
      <c r="R948" s="1" t="s">
        <v>17</v>
      </c>
      <c r="S948">
        <v>525</v>
      </c>
      <c r="T948" s="1" t="s">
        <v>2334</v>
      </c>
    </row>
    <row r="949" spans="1:20" x14ac:dyDescent="0.3">
      <c r="A949" s="1" t="s">
        <v>2335</v>
      </c>
      <c r="B949" s="1" t="s">
        <v>497</v>
      </c>
      <c r="C949">
        <v>19</v>
      </c>
      <c r="D949" s="1" t="s">
        <v>23</v>
      </c>
      <c r="E949" s="1" t="s">
        <v>33</v>
      </c>
      <c r="F949" s="1" t="s">
        <v>109</v>
      </c>
      <c r="G949" s="1" t="s">
        <v>104</v>
      </c>
      <c r="H949" s="1" t="s">
        <v>105</v>
      </c>
      <c r="I949">
        <v>1350</v>
      </c>
      <c r="J949">
        <v>4557</v>
      </c>
      <c r="K949">
        <v>2576</v>
      </c>
      <c r="L949">
        <v>4313</v>
      </c>
      <c r="M949">
        <v>12796</v>
      </c>
      <c r="N949" s="2">
        <v>45750</v>
      </c>
      <c r="O949" s="2">
        <v>45871</v>
      </c>
      <c r="P949" s="1" t="s">
        <v>34</v>
      </c>
      <c r="Q949" s="1" t="s">
        <v>21</v>
      </c>
      <c r="R949" s="1" t="s">
        <v>87</v>
      </c>
      <c r="S949">
        <v>451</v>
      </c>
      <c r="T949" s="1" t="s">
        <v>2336</v>
      </c>
    </row>
    <row r="950" spans="1:20" x14ac:dyDescent="0.3">
      <c r="A950" s="1" t="s">
        <v>2337</v>
      </c>
      <c r="B950" s="1" t="s">
        <v>1770</v>
      </c>
      <c r="C950">
        <v>44</v>
      </c>
      <c r="D950" s="1" t="s">
        <v>23</v>
      </c>
      <c r="E950" s="1" t="s">
        <v>36</v>
      </c>
      <c r="F950" s="1" t="s">
        <v>114</v>
      </c>
      <c r="G950" s="1" t="s">
        <v>98</v>
      </c>
      <c r="H950" s="1" t="s">
        <v>215</v>
      </c>
      <c r="I950">
        <v>1326</v>
      </c>
      <c r="J950">
        <v>2152</v>
      </c>
      <c r="K950">
        <v>2029</v>
      </c>
      <c r="L950">
        <v>3421</v>
      </c>
      <c r="M950">
        <v>8928</v>
      </c>
      <c r="N950" s="2">
        <v>45828</v>
      </c>
      <c r="O950" s="2">
        <v>46006</v>
      </c>
      <c r="P950" s="1" t="s">
        <v>110</v>
      </c>
      <c r="Q950" s="1" t="s">
        <v>9</v>
      </c>
      <c r="R950" s="1" t="s">
        <v>87</v>
      </c>
      <c r="S950">
        <v>704</v>
      </c>
      <c r="T950" s="1" t="s">
        <v>2338</v>
      </c>
    </row>
    <row r="951" spans="1:20" x14ac:dyDescent="0.3">
      <c r="A951" s="1" t="s">
        <v>2339</v>
      </c>
      <c r="B951" s="1" t="s">
        <v>1635</v>
      </c>
      <c r="C951">
        <v>56</v>
      </c>
      <c r="D951" s="1" t="s">
        <v>23</v>
      </c>
      <c r="E951" s="1" t="s">
        <v>24</v>
      </c>
      <c r="F951" s="1" t="s">
        <v>135</v>
      </c>
      <c r="G951" s="1" t="s">
        <v>125</v>
      </c>
      <c r="H951" s="1" t="s">
        <v>26</v>
      </c>
      <c r="I951">
        <v>1403</v>
      </c>
      <c r="J951">
        <v>4239</v>
      </c>
      <c r="K951">
        <v>664</v>
      </c>
      <c r="L951">
        <v>5661</v>
      </c>
      <c r="M951">
        <v>11967</v>
      </c>
      <c r="N951" s="2">
        <v>45828</v>
      </c>
      <c r="O951" s="2">
        <v>45667</v>
      </c>
      <c r="P951" s="1" t="s">
        <v>93</v>
      </c>
      <c r="Q951" s="1" t="s">
        <v>9</v>
      </c>
      <c r="R951" s="1" t="s">
        <v>17</v>
      </c>
      <c r="S951">
        <v>723</v>
      </c>
      <c r="T951" s="1" t="s">
        <v>2340</v>
      </c>
    </row>
    <row r="952" spans="1:20" x14ac:dyDescent="0.3">
      <c r="A952" s="1" t="s">
        <v>2341</v>
      </c>
      <c r="B952" s="1" t="s">
        <v>880</v>
      </c>
      <c r="C952">
        <v>76</v>
      </c>
      <c r="D952" s="1" t="s">
        <v>23</v>
      </c>
      <c r="E952" s="1" t="s">
        <v>38</v>
      </c>
      <c r="F952" s="1" t="s">
        <v>135</v>
      </c>
      <c r="G952" s="1" t="s">
        <v>91</v>
      </c>
      <c r="H952" s="1" t="s">
        <v>165</v>
      </c>
      <c r="I952">
        <v>914</v>
      </c>
      <c r="J952">
        <v>817</v>
      </c>
      <c r="K952">
        <v>6990</v>
      </c>
      <c r="L952">
        <v>4759</v>
      </c>
      <c r="M952">
        <v>13480</v>
      </c>
      <c r="N952" s="2">
        <v>46000</v>
      </c>
      <c r="O952" s="2">
        <v>45954</v>
      </c>
      <c r="P952" s="1" t="s">
        <v>14</v>
      </c>
      <c r="Q952" s="1" t="s">
        <v>16</v>
      </c>
      <c r="R952" s="1" t="s">
        <v>87</v>
      </c>
      <c r="S952">
        <v>334</v>
      </c>
      <c r="T952" s="1" t="s">
        <v>2342</v>
      </c>
    </row>
    <row r="953" spans="1:20" x14ac:dyDescent="0.3">
      <c r="A953" s="1" t="s">
        <v>2343</v>
      </c>
      <c r="B953" s="1" t="s">
        <v>1061</v>
      </c>
      <c r="C953">
        <v>31</v>
      </c>
      <c r="D953" s="1" t="s">
        <v>12</v>
      </c>
      <c r="E953" s="1" t="s">
        <v>38</v>
      </c>
      <c r="F953" s="1" t="s">
        <v>103</v>
      </c>
      <c r="G953" s="1" t="s">
        <v>158</v>
      </c>
      <c r="H953" s="1" t="s">
        <v>199</v>
      </c>
      <c r="I953">
        <v>397</v>
      </c>
      <c r="J953">
        <v>1123</v>
      </c>
      <c r="K953">
        <v>6873</v>
      </c>
      <c r="L953">
        <v>14161</v>
      </c>
      <c r="M953">
        <v>22554</v>
      </c>
      <c r="N953" s="2">
        <v>45798</v>
      </c>
      <c r="O953" s="2">
        <v>45932</v>
      </c>
      <c r="P953" s="1" t="s">
        <v>110</v>
      </c>
      <c r="Q953" s="1" t="s">
        <v>21</v>
      </c>
      <c r="R953" s="1" t="s">
        <v>87</v>
      </c>
      <c r="S953">
        <v>779</v>
      </c>
      <c r="T953" s="1" t="s">
        <v>2344</v>
      </c>
    </row>
    <row r="954" spans="1:20" x14ac:dyDescent="0.3">
      <c r="A954" s="1" t="s">
        <v>2345</v>
      </c>
      <c r="B954" s="1" t="s">
        <v>692</v>
      </c>
      <c r="C954">
        <v>28</v>
      </c>
      <c r="D954" s="1" t="s">
        <v>12</v>
      </c>
      <c r="E954" s="1" t="s">
        <v>38</v>
      </c>
      <c r="F954" s="1" t="s">
        <v>114</v>
      </c>
      <c r="G954" s="1" t="s">
        <v>158</v>
      </c>
      <c r="H954" s="1" t="s">
        <v>105</v>
      </c>
      <c r="I954">
        <v>1096</v>
      </c>
      <c r="J954">
        <v>3191</v>
      </c>
      <c r="K954">
        <v>1751</v>
      </c>
      <c r="L954">
        <v>9930</v>
      </c>
      <c r="M954">
        <v>15968</v>
      </c>
      <c r="N954" s="2">
        <v>45993</v>
      </c>
      <c r="O954" s="2">
        <v>45760</v>
      </c>
      <c r="P954" s="1" t="s">
        <v>34</v>
      </c>
      <c r="Q954" s="1" t="s">
        <v>21</v>
      </c>
      <c r="R954" s="1" t="s">
        <v>87</v>
      </c>
      <c r="S954">
        <v>351</v>
      </c>
      <c r="T954" s="1" t="s">
        <v>2346</v>
      </c>
    </row>
    <row r="955" spans="1:20" x14ac:dyDescent="0.3">
      <c r="A955" s="1" t="s">
        <v>2347</v>
      </c>
      <c r="B955" s="1" t="s">
        <v>747</v>
      </c>
      <c r="C955">
        <v>17</v>
      </c>
      <c r="D955" s="1" t="s">
        <v>12</v>
      </c>
      <c r="E955" s="1" t="s">
        <v>24</v>
      </c>
      <c r="F955" s="1" t="s">
        <v>109</v>
      </c>
      <c r="G955" s="1" t="s">
        <v>176</v>
      </c>
      <c r="H955" s="1" t="s">
        <v>26</v>
      </c>
      <c r="I955">
        <v>826</v>
      </c>
      <c r="J955">
        <v>3904</v>
      </c>
      <c r="K955">
        <v>1625</v>
      </c>
      <c r="L955">
        <v>7986</v>
      </c>
      <c r="M955">
        <v>14341</v>
      </c>
      <c r="N955" s="2">
        <v>45762</v>
      </c>
      <c r="O955" s="2">
        <v>45741</v>
      </c>
      <c r="P955" s="1" t="s">
        <v>177</v>
      </c>
      <c r="Q955" s="1" t="s">
        <v>21</v>
      </c>
      <c r="R955" s="1" t="s">
        <v>17</v>
      </c>
      <c r="S955">
        <v>655</v>
      </c>
      <c r="T955" s="1" t="s">
        <v>2348</v>
      </c>
    </row>
    <row r="956" spans="1:20" x14ac:dyDescent="0.3">
      <c r="A956" s="1" t="s">
        <v>2349</v>
      </c>
      <c r="B956" s="1" t="s">
        <v>850</v>
      </c>
      <c r="C956">
        <v>10</v>
      </c>
      <c r="D956" s="1" t="s">
        <v>23</v>
      </c>
      <c r="E956" s="1" t="s">
        <v>27</v>
      </c>
      <c r="F956" s="1" t="s">
        <v>114</v>
      </c>
      <c r="G956" s="1" t="s">
        <v>91</v>
      </c>
      <c r="H956" s="1" t="s">
        <v>18</v>
      </c>
      <c r="I956">
        <v>790</v>
      </c>
      <c r="J956">
        <v>1040</v>
      </c>
      <c r="K956">
        <v>6678</v>
      </c>
      <c r="L956">
        <v>13621</v>
      </c>
      <c r="M956">
        <v>22129</v>
      </c>
      <c r="N956" s="2">
        <v>45796</v>
      </c>
      <c r="O956" s="2">
        <v>45749</v>
      </c>
      <c r="P956" s="1" t="s">
        <v>35</v>
      </c>
      <c r="Q956" s="1" t="s">
        <v>16</v>
      </c>
      <c r="R956" s="1" t="s">
        <v>87</v>
      </c>
      <c r="S956">
        <v>884</v>
      </c>
      <c r="T956" s="1" t="s">
        <v>2350</v>
      </c>
    </row>
    <row r="957" spans="1:20" x14ac:dyDescent="0.3">
      <c r="A957" s="1" t="s">
        <v>2351</v>
      </c>
      <c r="B957" s="1" t="s">
        <v>612</v>
      </c>
      <c r="C957">
        <v>66</v>
      </c>
      <c r="D957" s="1" t="s">
        <v>23</v>
      </c>
      <c r="E957" s="1" t="s">
        <v>40</v>
      </c>
      <c r="F957" s="1" t="s">
        <v>135</v>
      </c>
      <c r="G957" s="1" t="s">
        <v>98</v>
      </c>
      <c r="H957" s="1" t="s">
        <v>165</v>
      </c>
      <c r="I957">
        <v>470</v>
      </c>
      <c r="J957">
        <v>3418</v>
      </c>
      <c r="K957">
        <v>6763</v>
      </c>
      <c r="L957">
        <v>2507</v>
      </c>
      <c r="M957">
        <v>13158</v>
      </c>
      <c r="N957" s="2">
        <v>45838</v>
      </c>
      <c r="O957" s="2">
        <v>45748</v>
      </c>
      <c r="P957" s="1" t="s">
        <v>93</v>
      </c>
      <c r="Q957" s="1" t="s">
        <v>21</v>
      </c>
      <c r="R957" s="1" t="s">
        <v>87</v>
      </c>
      <c r="S957">
        <v>118</v>
      </c>
      <c r="T957" s="1" t="s">
        <v>2352</v>
      </c>
    </row>
    <row r="958" spans="1:20" x14ac:dyDescent="0.3">
      <c r="A958" s="1" t="s">
        <v>2353</v>
      </c>
      <c r="B958" s="1" t="s">
        <v>466</v>
      </c>
      <c r="C958">
        <v>9</v>
      </c>
      <c r="D958" s="1" t="s">
        <v>23</v>
      </c>
      <c r="E958" s="1" t="s">
        <v>20</v>
      </c>
      <c r="F958" s="1" t="s">
        <v>109</v>
      </c>
      <c r="G958" s="1" t="s">
        <v>158</v>
      </c>
      <c r="H958" s="1" t="s">
        <v>186</v>
      </c>
      <c r="I958">
        <v>628</v>
      </c>
      <c r="J958">
        <v>4776</v>
      </c>
      <c r="K958">
        <v>6978</v>
      </c>
      <c r="L958">
        <v>12297</v>
      </c>
      <c r="M958">
        <v>24679</v>
      </c>
      <c r="N958" s="2">
        <v>45931</v>
      </c>
      <c r="O958" s="2">
        <v>45757</v>
      </c>
      <c r="P958" s="1" t="s">
        <v>116</v>
      </c>
      <c r="Q958" s="1" t="s">
        <v>21</v>
      </c>
      <c r="R958" s="1" t="s">
        <v>17</v>
      </c>
      <c r="S958">
        <v>911</v>
      </c>
      <c r="T958" s="1" t="s">
        <v>2354</v>
      </c>
    </row>
    <row r="959" spans="1:20" x14ac:dyDescent="0.3">
      <c r="A959" s="1" t="s">
        <v>2355</v>
      </c>
      <c r="B959" s="1" t="s">
        <v>44</v>
      </c>
      <c r="C959">
        <v>66</v>
      </c>
      <c r="D959" s="1" t="s">
        <v>12</v>
      </c>
      <c r="E959" s="1" t="s">
        <v>27</v>
      </c>
      <c r="F959" s="1" t="s">
        <v>84</v>
      </c>
      <c r="G959" s="1" t="s">
        <v>98</v>
      </c>
      <c r="H959" s="1" t="s">
        <v>145</v>
      </c>
      <c r="I959">
        <v>689</v>
      </c>
      <c r="J959">
        <v>4460</v>
      </c>
      <c r="K959">
        <v>6636</v>
      </c>
      <c r="L959">
        <v>10606</v>
      </c>
      <c r="M959">
        <v>22391</v>
      </c>
      <c r="N959" s="2">
        <v>46015</v>
      </c>
      <c r="O959" s="2">
        <v>45692</v>
      </c>
      <c r="P959" s="1" t="s">
        <v>19</v>
      </c>
      <c r="Q959" s="1" t="s">
        <v>9</v>
      </c>
      <c r="R959" s="1" t="s">
        <v>17</v>
      </c>
      <c r="S959">
        <v>429</v>
      </c>
      <c r="T959" s="1" t="s">
        <v>2356</v>
      </c>
    </row>
    <row r="960" spans="1:20" x14ac:dyDescent="0.3">
      <c r="A960" s="1" t="s">
        <v>2357</v>
      </c>
      <c r="B960" s="1" t="s">
        <v>2026</v>
      </c>
      <c r="C960">
        <v>6</v>
      </c>
      <c r="D960" s="1" t="s">
        <v>23</v>
      </c>
      <c r="E960" s="1" t="s">
        <v>38</v>
      </c>
      <c r="F960" s="1" t="s">
        <v>135</v>
      </c>
      <c r="G960" s="1" t="s">
        <v>104</v>
      </c>
      <c r="H960" s="1" t="s">
        <v>115</v>
      </c>
      <c r="I960">
        <v>307</v>
      </c>
      <c r="J960">
        <v>3411</v>
      </c>
      <c r="K960">
        <v>440</v>
      </c>
      <c r="L960">
        <v>11888</v>
      </c>
      <c r="M960">
        <v>16046</v>
      </c>
      <c r="N960" s="2">
        <v>45848</v>
      </c>
      <c r="O960" s="2">
        <v>45990</v>
      </c>
      <c r="P960" s="1" t="s">
        <v>177</v>
      </c>
      <c r="Q960" s="1" t="s">
        <v>16</v>
      </c>
      <c r="R960" s="1" t="s">
        <v>17</v>
      </c>
      <c r="S960">
        <v>982</v>
      </c>
      <c r="T960" s="1" t="s">
        <v>2358</v>
      </c>
    </row>
    <row r="961" spans="1:20" x14ac:dyDescent="0.3">
      <c r="A961" s="1" t="s">
        <v>2359</v>
      </c>
      <c r="B961" s="1" t="s">
        <v>328</v>
      </c>
      <c r="C961">
        <v>13</v>
      </c>
      <c r="D961" s="1" t="s">
        <v>23</v>
      </c>
      <c r="E961" s="1" t="s">
        <v>40</v>
      </c>
      <c r="F961" s="1" t="s">
        <v>109</v>
      </c>
      <c r="G961" s="1" t="s">
        <v>91</v>
      </c>
      <c r="H961" s="1" t="s">
        <v>215</v>
      </c>
      <c r="I961">
        <v>1312</v>
      </c>
      <c r="J961">
        <v>3291</v>
      </c>
      <c r="K961">
        <v>1281</v>
      </c>
      <c r="L961">
        <v>11239</v>
      </c>
      <c r="M961">
        <v>17123</v>
      </c>
      <c r="N961" s="2">
        <v>45674</v>
      </c>
      <c r="O961" s="2">
        <v>45984</v>
      </c>
      <c r="P961" s="1" t="s">
        <v>177</v>
      </c>
      <c r="Q961" s="1" t="s">
        <v>9</v>
      </c>
      <c r="R961" s="1" t="s">
        <v>17</v>
      </c>
      <c r="S961">
        <v>139</v>
      </c>
      <c r="T961" s="1" t="s">
        <v>2360</v>
      </c>
    </row>
    <row r="962" spans="1:20" x14ac:dyDescent="0.3">
      <c r="A962" s="1" t="s">
        <v>2361</v>
      </c>
      <c r="B962" s="1" t="s">
        <v>753</v>
      </c>
      <c r="C962">
        <v>39</v>
      </c>
      <c r="D962" s="1" t="s">
        <v>23</v>
      </c>
      <c r="E962" s="1" t="s">
        <v>20</v>
      </c>
      <c r="F962" s="1" t="s">
        <v>124</v>
      </c>
      <c r="G962" s="1" t="s">
        <v>158</v>
      </c>
      <c r="H962" s="1" t="s">
        <v>155</v>
      </c>
      <c r="I962">
        <v>613</v>
      </c>
      <c r="J962">
        <v>2799</v>
      </c>
      <c r="K962">
        <v>3084</v>
      </c>
      <c r="L962">
        <v>14922</v>
      </c>
      <c r="M962">
        <v>21418</v>
      </c>
      <c r="N962" s="2">
        <v>45868</v>
      </c>
      <c r="O962" s="2">
        <v>45696</v>
      </c>
      <c r="P962" s="1" t="s">
        <v>110</v>
      </c>
      <c r="Q962" s="1" t="s">
        <v>9</v>
      </c>
      <c r="R962" s="1" t="s">
        <v>17</v>
      </c>
      <c r="S962">
        <v>856</v>
      </c>
      <c r="T962" s="1" t="s">
        <v>2362</v>
      </c>
    </row>
    <row r="963" spans="1:20" x14ac:dyDescent="0.3">
      <c r="A963" s="1" t="s">
        <v>2363</v>
      </c>
      <c r="B963" s="1" t="s">
        <v>32</v>
      </c>
      <c r="C963">
        <v>4</v>
      </c>
      <c r="D963" s="1" t="s">
        <v>12</v>
      </c>
      <c r="E963" s="1" t="s">
        <v>20</v>
      </c>
      <c r="F963" s="1" t="s">
        <v>97</v>
      </c>
      <c r="G963" s="1" t="s">
        <v>158</v>
      </c>
      <c r="H963" s="1" t="s">
        <v>145</v>
      </c>
      <c r="I963">
        <v>490</v>
      </c>
      <c r="J963">
        <v>1625</v>
      </c>
      <c r="K963">
        <v>7930</v>
      </c>
      <c r="L963">
        <v>9600</v>
      </c>
      <c r="M963">
        <v>19645</v>
      </c>
      <c r="N963" s="2">
        <v>45966</v>
      </c>
      <c r="O963" s="2">
        <v>45964</v>
      </c>
      <c r="P963" s="1" t="s">
        <v>35</v>
      </c>
      <c r="Q963" s="1" t="s">
        <v>16</v>
      </c>
      <c r="R963" s="1" t="s">
        <v>17</v>
      </c>
      <c r="S963">
        <v>886</v>
      </c>
      <c r="T963" s="1" t="s">
        <v>2364</v>
      </c>
    </row>
    <row r="964" spans="1:20" x14ac:dyDescent="0.3">
      <c r="A964" s="1" t="s">
        <v>2365</v>
      </c>
      <c r="B964" s="1" t="s">
        <v>70</v>
      </c>
      <c r="C964">
        <v>24</v>
      </c>
      <c r="D964" s="1" t="s">
        <v>23</v>
      </c>
      <c r="E964" s="1" t="s">
        <v>36</v>
      </c>
      <c r="F964" s="1" t="s">
        <v>114</v>
      </c>
      <c r="G964" s="1" t="s">
        <v>98</v>
      </c>
      <c r="H964" s="1" t="s">
        <v>105</v>
      </c>
      <c r="I964">
        <v>400</v>
      </c>
      <c r="J964">
        <v>2765</v>
      </c>
      <c r="K964">
        <v>2851</v>
      </c>
      <c r="L964">
        <v>14786</v>
      </c>
      <c r="M964">
        <v>20802</v>
      </c>
      <c r="N964" s="2">
        <v>45939</v>
      </c>
      <c r="O964" s="2">
        <v>45935</v>
      </c>
      <c r="P964" s="1" t="s">
        <v>35</v>
      </c>
      <c r="Q964" s="1" t="s">
        <v>21</v>
      </c>
      <c r="R964" s="1" t="s">
        <v>22</v>
      </c>
      <c r="S964">
        <v>513</v>
      </c>
      <c r="T964" s="1" t="s">
        <v>2366</v>
      </c>
    </row>
    <row r="965" spans="1:20" x14ac:dyDescent="0.3">
      <c r="A965" s="1" t="s">
        <v>2367</v>
      </c>
      <c r="B965" s="1" t="s">
        <v>661</v>
      </c>
      <c r="C965">
        <v>54</v>
      </c>
      <c r="D965" s="1" t="s">
        <v>23</v>
      </c>
      <c r="E965" s="1" t="s">
        <v>27</v>
      </c>
      <c r="F965" s="1" t="s">
        <v>97</v>
      </c>
      <c r="G965" s="1" t="s">
        <v>158</v>
      </c>
      <c r="H965" s="1" t="s">
        <v>165</v>
      </c>
      <c r="I965">
        <v>406</v>
      </c>
      <c r="J965">
        <v>1621</v>
      </c>
      <c r="K965">
        <v>863</v>
      </c>
      <c r="L965">
        <v>2545</v>
      </c>
      <c r="M965">
        <v>5435</v>
      </c>
      <c r="N965" s="2">
        <v>45959</v>
      </c>
      <c r="O965" s="2">
        <v>45660</v>
      </c>
      <c r="P965" s="1" t="s">
        <v>35</v>
      </c>
      <c r="Q965" s="1" t="s">
        <v>9</v>
      </c>
      <c r="R965" s="1" t="s">
        <v>17</v>
      </c>
      <c r="S965">
        <v>515</v>
      </c>
      <c r="T965" s="1" t="s">
        <v>2368</v>
      </c>
    </row>
    <row r="966" spans="1:20" x14ac:dyDescent="0.3">
      <c r="A966" s="1" t="s">
        <v>2369</v>
      </c>
      <c r="B966" s="1" t="s">
        <v>2370</v>
      </c>
      <c r="C966">
        <v>21</v>
      </c>
      <c r="D966" s="1" t="s">
        <v>23</v>
      </c>
      <c r="E966" s="1" t="s">
        <v>27</v>
      </c>
      <c r="F966" s="1" t="s">
        <v>114</v>
      </c>
      <c r="G966" s="1" t="s">
        <v>85</v>
      </c>
      <c r="H966" s="1" t="s">
        <v>186</v>
      </c>
      <c r="I966">
        <v>644</v>
      </c>
      <c r="J966">
        <v>2016</v>
      </c>
      <c r="K966">
        <v>5612</v>
      </c>
      <c r="L966">
        <v>10322</v>
      </c>
      <c r="M966">
        <v>18594</v>
      </c>
      <c r="N966" s="2">
        <v>46016</v>
      </c>
      <c r="O966" s="2">
        <v>45711</v>
      </c>
      <c r="P966" s="1" t="s">
        <v>34</v>
      </c>
      <c r="Q966" s="1" t="s">
        <v>31</v>
      </c>
      <c r="R966" s="1" t="s">
        <v>22</v>
      </c>
      <c r="S966">
        <v>855</v>
      </c>
      <c r="T966" s="1" t="s">
        <v>2371</v>
      </c>
    </row>
    <row r="967" spans="1:20" x14ac:dyDescent="0.3">
      <c r="A967" s="1" t="s">
        <v>2372</v>
      </c>
      <c r="B967" s="1" t="s">
        <v>637</v>
      </c>
      <c r="C967">
        <v>53</v>
      </c>
      <c r="D967" s="1" t="s">
        <v>23</v>
      </c>
      <c r="E967" s="1" t="s">
        <v>38</v>
      </c>
      <c r="F967" s="1" t="s">
        <v>124</v>
      </c>
      <c r="G967" s="1" t="s">
        <v>85</v>
      </c>
      <c r="H967" s="1" t="s">
        <v>115</v>
      </c>
      <c r="I967">
        <v>1308</v>
      </c>
      <c r="J967">
        <v>4985</v>
      </c>
      <c r="K967">
        <v>2248</v>
      </c>
      <c r="L967">
        <v>1972</v>
      </c>
      <c r="M967">
        <v>10513</v>
      </c>
      <c r="N967" s="2">
        <v>45878</v>
      </c>
      <c r="O967" s="2">
        <v>45766</v>
      </c>
      <c r="P967" s="1" t="s">
        <v>136</v>
      </c>
      <c r="Q967" s="1" t="s">
        <v>21</v>
      </c>
      <c r="R967" s="1" t="s">
        <v>17</v>
      </c>
      <c r="S967">
        <v>239</v>
      </c>
      <c r="T967" s="1" t="s">
        <v>2373</v>
      </c>
    </row>
    <row r="968" spans="1:20" x14ac:dyDescent="0.3">
      <c r="A968" s="1" t="s">
        <v>2374</v>
      </c>
      <c r="B968" s="1" t="s">
        <v>245</v>
      </c>
      <c r="C968">
        <v>75</v>
      </c>
      <c r="D968" s="1" t="s">
        <v>12</v>
      </c>
      <c r="E968" s="1" t="s">
        <v>24</v>
      </c>
      <c r="F968" s="1" t="s">
        <v>124</v>
      </c>
      <c r="G968" s="1" t="s">
        <v>125</v>
      </c>
      <c r="H968" s="1" t="s">
        <v>105</v>
      </c>
      <c r="I968">
        <v>555</v>
      </c>
      <c r="J968">
        <v>3942</v>
      </c>
      <c r="K968">
        <v>2388</v>
      </c>
      <c r="L968">
        <v>11622</v>
      </c>
      <c r="M968">
        <v>18507</v>
      </c>
      <c r="N968" s="2">
        <v>45967</v>
      </c>
      <c r="O968" s="2">
        <v>45912</v>
      </c>
      <c r="P968" s="1" t="s">
        <v>34</v>
      </c>
      <c r="Q968" s="1" t="s">
        <v>31</v>
      </c>
      <c r="R968" s="1" t="s">
        <v>87</v>
      </c>
      <c r="S968">
        <v>359</v>
      </c>
      <c r="T968" s="1" t="s">
        <v>2375</v>
      </c>
    </row>
    <row r="969" spans="1:20" x14ac:dyDescent="0.3">
      <c r="A969" s="1" t="s">
        <v>2376</v>
      </c>
      <c r="B969" s="1" t="s">
        <v>575</v>
      </c>
      <c r="C969">
        <v>24</v>
      </c>
      <c r="D969" s="1" t="s">
        <v>23</v>
      </c>
      <c r="E969" s="1" t="s">
        <v>15</v>
      </c>
      <c r="F969" s="1" t="s">
        <v>84</v>
      </c>
      <c r="G969" s="1" t="s">
        <v>85</v>
      </c>
      <c r="H969" s="1" t="s">
        <v>86</v>
      </c>
      <c r="I969">
        <v>382</v>
      </c>
      <c r="J969">
        <v>2391</v>
      </c>
      <c r="K969">
        <v>2347</v>
      </c>
      <c r="L969">
        <v>13204</v>
      </c>
      <c r="M969">
        <v>18324</v>
      </c>
      <c r="N969" s="2">
        <v>45681</v>
      </c>
      <c r="O969" s="2">
        <v>45694</v>
      </c>
      <c r="P969" s="1" t="s">
        <v>93</v>
      </c>
      <c r="Q969" s="1" t="s">
        <v>21</v>
      </c>
      <c r="R969" s="1" t="s">
        <v>22</v>
      </c>
      <c r="S969">
        <v>688</v>
      </c>
      <c r="T969" s="1" t="s">
        <v>2377</v>
      </c>
    </row>
    <row r="970" spans="1:20" x14ac:dyDescent="0.3">
      <c r="A970" s="1" t="s">
        <v>2378</v>
      </c>
      <c r="B970" s="1" t="s">
        <v>1102</v>
      </c>
      <c r="C970">
        <v>2</v>
      </c>
      <c r="D970" s="1" t="s">
        <v>12</v>
      </c>
      <c r="E970" s="1" t="s">
        <v>20</v>
      </c>
      <c r="F970" s="1" t="s">
        <v>114</v>
      </c>
      <c r="G970" s="1" t="s">
        <v>125</v>
      </c>
      <c r="H970" s="1" t="s">
        <v>186</v>
      </c>
      <c r="I970">
        <v>722</v>
      </c>
      <c r="J970">
        <v>4162</v>
      </c>
      <c r="K970">
        <v>1482</v>
      </c>
      <c r="L970">
        <v>3408</v>
      </c>
      <c r="M970">
        <v>9774</v>
      </c>
      <c r="N970" s="2">
        <v>45989</v>
      </c>
      <c r="O970" s="2">
        <v>45721</v>
      </c>
      <c r="P970" s="1" t="s">
        <v>177</v>
      </c>
      <c r="Q970" s="1" t="s">
        <v>9</v>
      </c>
      <c r="R970" s="1" t="s">
        <v>87</v>
      </c>
      <c r="S970">
        <v>631</v>
      </c>
      <c r="T970" s="1" t="s">
        <v>2379</v>
      </c>
    </row>
    <row r="971" spans="1:20" x14ac:dyDescent="0.3">
      <c r="A971" s="1" t="s">
        <v>2380</v>
      </c>
      <c r="B971" s="1" t="s">
        <v>868</v>
      </c>
      <c r="C971">
        <v>85</v>
      </c>
      <c r="D971" s="1" t="s">
        <v>23</v>
      </c>
      <c r="E971" s="1" t="s">
        <v>27</v>
      </c>
      <c r="F971" s="1" t="s">
        <v>109</v>
      </c>
      <c r="G971" s="1" t="s">
        <v>91</v>
      </c>
      <c r="H971" s="1" t="s">
        <v>115</v>
      </c>
      <c r="I971">
        <v>1097</v>
      </c>
      <c r="J971">
        <v>3393</v>
      </c>
      <c r="K971">
        <v>1840</v>
      </c>
      <c r="L971">
        <v>11909</v>
      </c>
      <c r="M971">
        <v>18239</v>
      </c>
      <c r="N971" s="2">
        <v>45997</v>
      </c>
      <c r="O971" s="2">
        <v>45782</v>
      </c>
      <c r="P971" s="1" t="s">
        <v>116</v>
      </c>
      <c r="Q971" s="1" t="s">
        <v>9</v>
      </c>
      <c r="R971" s="1" t="s">
        <v>22</v>
      </c>
      <c r="S971">
        <v>358</v>
      </c>
      <c r="T971" s="1" t="s">
        <v>2381</v>
      </c>
    </row>
    <row r="972" spans="1:20" x14ac:dyDescent="0.3">
      <c r="A972" s="1" t="s">
        <v>2382</v>
      </c>
      <c r="B972" s="1" t="s">
        <v>1320</v>
      </c>
      <c r="C972">
        <v>21</v>
      </c>
      <c r="D972" s="1" t="s">
        <v>23</v>
      </c>
      <c r="E972" s="1" t="s">
        <v>36</v>
      </c>
      <c r="F972" s="1" t="s">
        <v>103</v>
      </c>
      <c r="G972" s="1" t="s">
        <v>91</v>
      </c>
      <c r="H972" s="1" t="s">
        <v>92</v>
      </c>
      <c r="I972">
        <v>1373</v>
      </c>
      <c r="J972">
        <v>2868</v>
      </c>
      <c r="K972">
        <v>1969</v>
      </c>
      <c r="L972">
        <v>7773</v>
      </c>
      <c r="M972">
        <v>13983</v>
      </c>
      <c r="N972" s="2">
        <v>45714</v>
      </c>
      <c r="O972" s="2">
        <v>45805</v>
      </c>
      <c r="P972" s="1" t="s">
        <v>25</v>
      </c>
      <c r="Q972" s="1" t="s">
        <v>31</v>
      </c>
      <c r="R972" s="1" t="s">
        <v>17</v>
      </c>
      <c r="S972">
        <v>887</v>
      </c>
      <c r="T972" s="1" t="s">
        <v>2383</v>
      </c>
    </row>
    <row r="973" spans="1:20" x14ac:dyDescent="0.3">
      <c r="A973" s="1" t="s">
        <v>2384</v>
      </c>
      <c r="B973" s="1" t="s">
        <v>1107</v>
      </c>
      <c r="C973">
        <v>9</v>
      </c>
      <c r="D973" s="1" t="s">
        <v>12</v>
      </c>
      <c r="E973" s="1" t="s">
        <v>36</v>
      </c>
      <c r="F973" s="1" t="s">
        <v>97</v>
      </c>
      <c r="G973" s="1" t="s">
        <v>85</v>
      </c>
      <c r="H973" s="1" t="s">
        <v>26</v>
      </c>
      <c r="I973">
        <v>759</v>
      </c>
      <c r="J973">
        <v>4181</v>
      </c>
      <c r="K973">
        <v>1945</v>
      </c>
      <c r="L973">
        <v>12279</v>
      </c>
      <c r="M973">
        <v>19164</v>
      </c>
      <c r="N973" s="2">
        <v>45799</v>
      </c>
      <c r="O973" s="2">
        <v>45902</v>
      </c>
      <c r="P973" s="1" t="s">
        <v>93</v>
      </c>
      <c r="Q973" s="1" t="s">
        <v>9</v>
      </c>
      <c r="R973" s="1" t="s">
        <v>22</v>
      </c>
      <c r="S973">
        <v>548</v>
      </c>
      <c r="T973" s="1" t="s">
        <v>2385</v>
      </c>
    </row>
    <row r="974" spans="1:20" x14ac:dyDescent="0.3">
      <c r="A974" s="1" t="s">
        <v>2386</v>
      </c>
      <c r="B974" s="1" t="s">
        <v>1171</v>
      </c>
      <c r="C974">
        <v>31</v>
      </c>
      <c r="D974" s="1" t="s">
        <v>12</v>
      </c>
      <c r="E974" s="1" t="s">
        <v>36</v>
      </c>
      <c r="F974" s="1" t="s">
        <v>120</v>
      </c>
      <c r="G974" s="1" t="s">
        <v>104</v>
      </c>
      <c r="H974" s="1" t="s">
        <v>105</v>
      </c>
      <c r="I974">
        <v>1429</v>
      </c>
      <c r="J974">
        <v>4675</v>
      </c>
      <c r="K974">
        <v>5558</v>
      </c>
      <c r="L974">
        <v>3370</v>
      </c>
      <c r="M974">
        <v>15032</v>
      </c>
      <c r="N974" s="2">
        <v>45714</v>
      </c>
      <c r="O974" s="2">
        <v>45795</v>
      </c>
      <c r="P974" s="1" t="s">
        <v>177</v>
      </c>
      <c r="Q974" s="1" t="s">
        <v>16</v>
      </c>
      <c r="R974" s="1" t="s">
        <v>17</v>
      </c>
      <c r="S974">
        <v>982</v>
      </c>
      <c r="T974" s="1" t="s">
        <v>2387</v>
      </c>
    </row>
    <row r="975" spans="1:20" x14ac:dyDescent="0.3">
      <c r="A975" s="1" t="s">
        <v>2388</v>
      </c>
      <c r="B975" s="1" t="s">
        <v>1168</v>
      </c>
      <c r="C975">
        <v>52</v>
      </c>
      <c r="D975" s="1" t="s">
        <v>23</v>
      </c>
      <c r="E975" s="1" t="s">
        <v>15</v>
      </c>
      <c r="F975" s="1" t="s">
        <v>114</v>
      </c>
      <c r="G975" s="1" t="s">
        <v>104</v>
      </c>
      <c r="H975" s="1" t="s">
        <v>13</v>
      </c>
      <c r="I975">
        <v>794</v>
      </c>
      <c r="J975">
        <v>2816</v>
      </c>
      <c r="K975">
        <v>2365</v>
      </c>
      <c r="L975">
        <v>14266</v>
      </c>
      <c r="M975">
        <v>20241</v>
      </c>
      <c r="N975" s="2">
        <v>45783</v>
      </c>
      <c r="O975" s="2">
        <v>46000</v>
      </c>
      <c r="P975" s="1" t="s">
        <v>110</v>
      </c>
      <c r="Q975" s="1" t="s">
        <v>9</v>
      </c>
      <c r="R975" s="1" t="s">
        <v>87</v>
      </c>
      <c r="S975">
        <v>103</v>
      </c>
      <c r="T975" s="1" t="s">
        <v>2389</v>
      </c>
    </row>
    <row r="976" spans="1:20" x14ac:dyDescent="0.3">
      <c r="A976" s="1" t="s">
        <v>2390</v>
      </c>
      <c r="B976" s="1" t="s">
        <v>1986</v>
      </c>
      <c r="C976">
        <v>71</v>
      </c>
      <c r="D976" s="1" t="s">
        <v>12</v>
      </c>
      <c r="E976" s="1" t="s">
        <v>36</v>
      </c>
      <c r="F976" s="1" t="s">
        <v>97</v>
      </c>
      <c r="G976" s="1" t="s">
        <v>98</v>
      </c>
      <c r="H976" s="1" t="s">
        <v>18</v>
      </c>
      <c r="I976">
        <v>1285</v>
      </c>
      <c r="J976">
        <v>2084</v>
      </c>
      <c r="K976">
        <v>1834</v>
      </c>
      <c r="L976">
        <v>2777</v>
      </c>
      <c r="M976">
        <v>7980</v>
      </c>
      <c r="N976" s="2">
        <v>45814</v>
      </c>
      <c r="O976" s="2">
        <v>45875</v>
      </c>
      <c r="P976" s="1" t="s">
        <v>14</v>
      </c>
      <c r="Q976" s="1" t="s">
        <v>31</v>
      </c>
      <c r="R976" s="1" t="s">
        <v>87</v>
      </c>
      <c r="S976">
        <v>511</v>
      </c>
      <c r="T976" s="1" t="s">
        <v>2391</v>
      </c>
    </row>
    <row r="977" spans="1:20" x14ac:dyDescent="0.3">
      <c r="A977" s="1" t="s">
        <v>2392</v>
      </c>
      <c r="B977" s="1" t="s">
        <v>924</v>
      </c>
      <c r="C977">
        <v>73</v>
      </c>
      <c r="D977" s="1" t="s">
        <v>12</v>
      </c>
      <c r="E977" s="1" t="s">
        <v>20</v>
      </c>
      <c r="F977" s="1" t="s">
        <v>114</v>
      </c>
      <c r="G977" s="1" t="s">
        <v>125</v>
      </c>
      <c r="H977" s="1" t="s">
        <v>155</v>
      </c>
      <c r="I977">
        <v>1266</v>
      </c>
      <c r="J977">
        <v>2107</v>
      </c>
      <c r="K977">
        <v>7592</v>
      </c>
      <c r="L977">
        <v>5012</v>
      </c>
      <c r="M977">
        <v>15977</v>
      </c>
      <c r="N977" s="2">
        <v>45824</v>
      </c>
      <c r="O977" s="2">
        <v>45681</v>
      </c>
      <c r="P977" s="1" t="s">
        <v>177</v>
      </c>
      <c r="Q977" s="1" t="s">
        <v>31</v>
      </c>
      <c r="R977" s="1" t="s">
        <v>87</v>
      </c>
      <c r="S977">
        <v>441</v>
      </c>
      <c r="T977" s="1" t="s">
        <v>2393</v>
      </c>
    </row>
    <row r="978" spans="1:20" x14ac:dyDescent="0.3">
      <c r="A978" s="1" t="s">
        <v>2394</v>
      </c>
      <c r="B978" s="1" t="s">
        <v>2395</v>
      </c>
      <c r="C978">
        <v>72</v>
      </c>
      <c r="D978" s="1" t="s">
        <v>23</v>
      </c>
      <c r="E978" s="1" t="s">
        <v>38</v>
      </c>
      <c r="F978" s="1" t="s">
        <v>114</v>
      </c>
      <c r="G978" s="1" t="s">
        <v>98</v>
      </c>
      <c r="H978" s="1" t="s">
        <v>13</v>
      </c>
      <c r="I978">
        <v>1457</v>
      </c>
      <c r="J978">
        <v>1622</v>
      </c>
      <c r="K978">
        <v>2194</v>
      </c>
      <c r="L978">
        <v>7729</v>
      </c>
      <c r="M978">
        <v>13002</v>
      </c>
      <c r="N978" s="2">
        <v>45680</v>
      </c>
      <c r="O978" s="2">
        <v>45762</v>
      </c>
      <c r="P978" s="1" t="s">
        <v>116</v>
      </c>
      <c r="Q978" s="1" t="s">
        <v>16</v>
      </c>
      <c r="R978" s="1" t="s">
        <v>22</v>
      </c>
      <c r="S978">
        <v>797</v>
      </c>
      <c r="T978" s="1" t="s">
        <v>2396</v>
      </c>
    </row>
    <row r="979" spans="1:20" x14ac:dyDescent="0.3">
      <c r="A979" s="1" t="s">
        <v>2397</v>
      </c>
      <c r="B979" s="1" t="s">
        <v>61</v>
      </c>
      <c r="C979">
        <v>29</v>
      </c>
      <c r="D979" s="1" t="s">
        <v>23</v>
      </c>
      <c r="E979" s="1" t="s">
        <v>36</v>
      </c>
      <c r="F979" s="1" t="s">
        <v>84</v>
      </c>
      <c r="G979" s="1" t="s">
        <v>104</v>
      </c>
      <c r="H979" s="1" t="s">
        <v>99</v>
      </c>
      <c r="I979">
        <v>498</v>
      </c>
      <c r="J979">
        <v>799</v>
      </c>
      <c r="K979">
        <v>2400</v>
      </c>
      <c r="L979">
        <v>1191</v>
      </c>
      <c r="M979">
        <v>4888</v>
      </c>
      <c r="N979" s="2">
        <v>45958</v>
      </c>
      <c r="O979" s="2">
        <v>45867</v>
      </c>
      <c r="P979" s="1" t="s">
        <v>35</v>
      </c>
      <c r="Q979" s="1" t="s">
        <v>9</v>
      </c>
      <c r="R979" s="1" t="s">
        <v>22</v>
      </c>
      <c r="S979">
        <v>195</v>
      </c>
      <c r="T979" s="1" t="s">
        <v>2398</v>
      </c>
    </row>
    <row r="980" spans="1:20" x14ac:dyDescent="0.3">
      <c r="A980" s="1" t="s">
        <v>2399</v>
      </c>
      <c r="B980" s="1" t="s">
        <v>494</v>
      </c>
      <c r="C980">
        <v>16</v>
      </c>
      <c r="D980" s="1" t="s">
        <v>23</v>
      </c>
      <c r="E980" s="1" t="s">
        <v>27</v>
      </c>
      <c r="F980" s="1" t="s">
        <v>124</v>
      </c>
      <c r="G980" s="1" t="s">
        <v>176</v>
      </c>
      <c r="H980" s="1" t="s">
        <v>105</v>
      </c>
      <c r="I980">
        <v>390</v>
      </c>
      <c r="J980">
        <v>4399</v>
      </c>
      <c r="K980">
        <v>5944</v>
      </c>
      <c r="L980">
        <v>5539</v>
      </c>
      <c r="M980">
        <v>16272</v>
      </c>
      <c r="N980" s="2">
        <v>45935</v>
      </c>
      <c r="O980" s="2">
        <v>45743</v>
      </c>
      <c r="P980" s="1" t="s">
        <v>34</v>
      </c>
      <c r="Q980" s="1" t="s">
        <v>31</v>
      </c>
      <c r="R980" s="1" t="s">
        <v>17</v>
      </c>
      <c r="S980">
        <v>438</v>
      </c>
      <c r="T980" s="1" t="s">
        <v>2400</v>
      </c>
    </row>
    <row r="981" spans="1:20" x14ac:dyDescent="0.3">
      <c r="A981" s="1" t="s">
        <v>2401</v>
      </c>
      <c r="B981" s="1" t="s">
        <v>819</v>
      </c>
      <c r="C981">
        <v>75</v>
      </c>
      <c r="D981" s="1" t="s">
        <v>23</v>
      </c>
      <c r="E981" s="1" t="s">
        <v>33</v>
      </c>
      <c r="F981" s="1" t="s">
        <v>124</v>
      </c>
      <c r="G981" s="1" t="s">
        <v>104</v>
      </c>
      <c r="H981" s="1" t="s">
        <v>18</v>
      </c>
      <c r="I981">
        <v>1174</v>
      </c>
      <c r="J981">
        <v>3358</v>
      </c>
      <c r="K981">
        <v>7956</v>
      </c>
      <c r="L981">
        <v>6847</v>
      </c>
      <c r="M981">
        <v>19335</v>
      </c>
      <c r="N981" s="2">
        <v>45889</v>
      </c>
      <c r="O981" s="2">
        <v>45942</v>
      </c>
      <c r="P981" s="1" t="s">
        <v>25</v>
      </c>
      <c r="Q981" s="1" t="s">
        <v>16</v>
      </c>
      <c r="R981" s="1" t="s">
        <v>87</v>
      </c>
      <c r="S981">
        <v>685</v>
      </c>
      <c r="T981" s="1" t="s">
        <v>2402</v>
      </c>
    </row>
    <row r="982" spans="1:20" x14ac:dyDescent="0.3">
      <c r="A982" s="1" t="s">
        <v>2403</v>
      </c>
      <c r="B982" s="1" t="s">
        <v>1519</v>
      </c>
      <c r="C982">
        <v>23</v>
      </c>
      <c r="D982" s="1" t="s">
        <v>23</v>
      </c>
      <c r="E982" s="1" t="s">
        <v>27</v>
      </c>
      <c r="F982" s="1" t="s">
        <v>84</v>
      </c>
      <c r="G982" s="1" t="s">
        <v>158</v>
      </c>
      <c r="H982" s="1" t="s">
        <v>29</v>
      </c>
      <c r="I982">
        <v>667</v>
      </c>
      <c r="J982">
        <v>2104</v>
      </c>
      <c r="K982">
        <v>7077</v>
      </c>
      <c r="L982">
        <v>4425</v>
      </c>
      <c r="M982">
        <v>14273</v>
      </c>
      <c r="N982" s="2">
        <v>45759</v>
      </c>
      <c r="O982" s="2">
        <v>45725</v>
      </c>
      <c r="P982" s="1" t="s">
        <v>14</v>
      </c>
      <c r="Q982" s="1" t="s">
        <v>9</v>
      </c>
      <c r="R982" s="1" t="s">
        <v>22</v>
      </c>
      <c r="S982">
        <v>733</v>
      </c>
      <c r="T982" s="1" t="s">
        <v>2404</v>
      </c>
    </row>
    <row r="983" spans="1:20" x14ac:dyDescent="0.3">
      <c r="A983" s="1" t="s">
        <v>2405</v>
      </c>
      <c r="B983" s="1" t="s">
        <v>2111</v>
      </c>
      <c r="C983">
        <v>27</v>
      </c>
      <c r="D983" s="1" t="s">
        <v>12</v>
      </c>
      <c r="E983" s="1" t="s">
        <v>15</v>
      </c>
      <c r="F983" s="1" t="s">
        <v>124</v>
      </c>
      <c r="G983" s="1" t="s">
        <v>91</v>
      </c>
      <c r="H983" s="1" t="s">
        <v>199</v>
      </c>
      <c r="I983">
        <v>615</v>
      </c>
      <c r="J983">
        <v>1018</v>
      </c>
      <c r="K983">
        <v>7129</v>
      </c>
      <c r="L983">
        <v>3606</v>
      </c>
      <c r="M983">
        <v>12368</v>
      </c>
      <c r="N983" s="2">
        <v>45900</v>
      </c>
      <c r="O983" s="2">
        <v>45851</v>
      </c>
      <c r="P983" s="1" t="s">
        <v>34</v>
      </c>
      <c r="Q983" s="1" t="s">
        <v>16</v>
      </c>
      <c r="R983" s="1" t="s">
        <v>87</v>
      </c>
      <c r="S983">
        <v>279</v>
      </c>
      <c r="T983" s="1" t="s">
        <v>2406</v>
      </c>
    </row>
    <row r="984" spans="1:20" x14ac:dyDescent="0.3">
      <c r="A984" s="1" t="s">
        <v>2407</v>
      </c>
      <c r="B984" s="1" t="s">
        <v>44</v>
      </c>
      <c r="C984">
        <v>11</v>
      </c>
      <c r="D984" s="1" t="s">
        <v>23</v>
      </c>
      <c r="E984" s="1" t="s">
        <v>36</v>
      </c>
      <c r="F984" s="1" t="s">
        <v>84</v>
      </c>
      <c r="G984" s="1" t="s">
        <v>104</v>
      </c>
      <c r="H984" s="1" t="s">
        <v>37</v>
      </c>
      <c r="I984">
        <v>614</v>
      </c>
      <c r="J984">
        <v>3900</v>
      </c>
      <c r="K984">
        <v>1188</v>
      </c>
      <c r="L984">
        <v>8120</v>
      </c>
      <c r="M984">
        <v>13822</v>
      </c>
      <c r="N984" s="2">
        <v>45775</v>
      </c>
      <c r="O984" s="2">
        <v>46016</v>
      </c>
      <c r="P984" s="1" t="s">
        <v>25</v>
      </c>
      <c r="Q984" s="1" t="s">
        <v>21</v>
      </c>
      <c r="R984" s="1" t="s">
        <v>17</v>
      </c>
      <c r="S984">
        <v>261</v>
      </c>
      <c r="T984" s="1" t="s">
        <v>2408</v>
      </c>
    </row>
    <row r="985" spans="1:20" x14ac:dyDescent="0.3">
      <c r="A985" s="1" t="s">
        <v>2409</v>
      </c>
      <c r="B985" s="1" t="s">
        <v>1665</v>
      </c>
      <c r="C985">
        <v>85</v>
      </c>
      <c r="D985" s="1" t="s">
        <v>23</v>
      </c>
      <c r="E985" s="1" t="s">
        <v>33</v>
      </c>
      <c r="F985" s="1" t="s">
        <v>135</v>
      </c>
      <c r="G985" s="1" t="s">
        <v>85</v>
      </c>
      <c r="H985" s="1" t="s">
        <v>199</v>
      </c>
      <c r="I985">
        <v>652</v>
      </c>
      <c r="J985">
        <v>4146</v>
      </c>
      <c r="K985">
        <v>2587</v>
      </c>
      <c r="L985">
        <v>6172</v>
      </c>
      <c r="M985">
        <v>13557</v>
      </c>
      <c r="N985" s="2">
        <v>45791</v>
      </c>
      <c r="O985" s="2">
        <v>45968</v>
      </c>
      <c r="P985" s="1" t="s">
        <v>19</v>
      </c>
      <c r="Q985" s="1" t="s">
        <v>9</v>
      </c>
      <c r="R985" s="1" t="s">
        <v>17</v>
      </c>
      <c r="S985">
        <v>484</v>
      </c>
      <c r="T985" s="1" t="s">
        <v>2410</v>
      </c>
    </row>
    <row r="986" spans="1:20" x14ac:dyDescent="0.3">
      <c r="A986" s="1" t="s">
        <v>2411</v>
      </c>
      <c r="B986" s="1" t="s">
        <v>612</v>
      </c>
      <c r="C986">
        <v>12</v>
      </c>
      <c r="D986" s="1" t="s">
        <v>23</v>
      </c>
      <c r="E986" s="1" t="s">
        <v>15</v>
      </c>
      <c r="F986" s="1" t="s">
        <v>109</v>
      </c>
      <c r="G986" s="1" t="s">
        <v>158</v>
      </c>
      <c r="H986" s="1" t="s">
        <v>29</v>
      </c>
      <c r="I986">
        <v>770</v>
      </c>
      <c r="J986">
        <v>4870</v>
      </c>
      <c r="K986">
        <v>7321</v>
      </c>
      <c r="L986">
        <v>2854</v>
      </c>
      <c r="M986">
        <v>15815</v>
      </c>
      <c r="N986" s="2">
        <v>45944</v>
      </c>
      <c r="O986" s="2">
        <v>45903</v>
      </c>
      <c r="P986" s="1" t="s">
        <v>93</v>
      </c>
      <c r="Q986" s="1" t="s">
        <v>31</v>
      </c>
      <c r="R986" s="1" t="s">
        <v>87</v>
      </c>
      <c r="S986">
        <v>996</v>
      </c>
      <c r="T986" s="1" t="s">
        <v>2412</v>
      </c>
    </row>
    <row r="987" spans="1:20" x14ac:dyDescent="0.3">
      <c r="A987" s="1" t="s">
        <v>2413</v>
      </c>
      <c r="B987" s="1" t="s">
        <v>344</v>
      </c>
      <c r="C987">
        <v>7</v>
      </c>
      <c r="D987" s="1" t="s">
        <v>23</v>
      </c>
      <c r="E987" s="1" t="s">
        <v>15</v>
      </c>
      <c r="F987" s="1" t="s">
        <v>84</v>
      </c>
      <c r="G987" s="1" t="s">
        <v>176</v>
      </c>
      <c r="H987" s="1" t="s">
        <v>37</v>
      </c>
      <c r="I987">
        <v>994</v>
      </c>
      <c r="J987">
        <v>4801</v>
      </c>
      <c r="K987">
        <v>4703</v>
      </c>
      <c r="L987">
        <v>2532</v>
      </c>
      <c r="M987">
        <v>13030</v>
      </c>
      <c r="N987" s="2">
        <v>45790</v>
      </c>
      <c r="O987" s="2">
        <v>45791</v>
      </c>
      <c r="P987" s="1" t="s">
        <v>177</v>
      </c>
      <c r="Q987" s="1" t="s">
        <v>31</v>
      </c>
      <c r="R987" s="1" t="s">
        <v>22</v>
      </c>
      <c r="S987">
        <v>537</v>
      </c>
      <c r="T987" s="1" t="s">
        <v>2414</v>
      </c>
    </row>
    <row r="988" spans="1:20" x14ac:dyDescent="0.3">
      <c r="A988" s="1" t="s">
        <v>2415</v>
      </c>
      <c r="B988" s="1" t="s">
        <v>1459</v>
      </c>
      <c r="C988">
        <v>29</v>
      </c>
      <c r="D988" s="1" t="s">
        <v>23</v>
      </c>
      <c r="E988" s="1" t="s">
        <v>27</v>
      </c>
      <c r="F988" s="1" t="s">
        <v>109</v>
      </c>
      <c r="G988" s="1" t="s">
        <v>85</v>
      </c>
      <c r="H988" s="1" t="s">
        <v>92</v>
      </c>
      <c r="I988">
        <v>446</v>
      </c>
      <c r="J988">
        <v>3958</v>
      </c>
      <c r="K988">
        <v>6205</v>
      </c>
      <c r="L988">
        <v>11385</v>
      </c>
      <c r="M988">
        <v>21994</v>
      </c>
      <c r="N988" s="2">
        <v>45937</v>
      </c>
      <c r="O988" s="2">
        <v>45699</v>
      </c>
      <c r="P988" s="1" t="s">
        <v>177</v>
      </c>
      <c r="Q988" s="1" t="s">
        <v>21</v>
      </c>
      <c r="R988" s="1" t="s">
        <v>17</v>
      </c>
      <c r="S988">
        <v>130</v>
      </c>
      <c r="T988" s="1" t="s">
        <v>2416</v>
      </c>
    </row>
    <row r="989" spans="1:20" x14ac:dyDescent="0.3">
      <c r="A989" s="1" t="s">
        <v>2417</v>
      </c>
      <c r="B989" s="1" t="s">
        <v>478</v>
      </c>
      <c r="C989">
        <v>4</v>
      </c>
      <c r="D989" s="1" t="s">
        <v>23</v>
      </c>
      <c r="E989" s="1" t="s">
        <v>27</v>
      </c>
      <c r="F989" s="1" t="s">
        <v>114</v>
      </c>
      <c r="G989" s="1" t="s">
        <v>176</v>
      </c>
      <c r="H989" s="1" t="s">
        <v>186</v>
      </c>
      <c r="I989">
        <v>637</v>
      </c>
      <c r="J989">
        <v>1164</v>
      </c>
      <c r="K989">
        <v>976</v>
      </c>
      <c r="L989">
        <v>12271</v>
      </c>
      <c r="M989">
        <v>15048</v>
      </c>
      <c r="N989" s="2">
        <v>45755</v>
      </c>
      <c r="O989" s="2">
        <v>45904</v>
      </c>
      <c r="P989" s="1" t="s">
        <v>35</v>
      </c>
      <c r="Q989" s="1" t="s">
        <v>21</v>
      </c>
      <c r="R989" s="1" t="s">
        <v>22</v>
      </c>
      <c r="S989">
        <v>906</v>
      </c>
      <c r="T989" s="1" t="s">
        <v>2418</v>
      </c>
    </row>
    <row r="990" spans="1:20" x14ac:dyDescent="0.3">
      <c r="A990" s="1" t="s">
        <v>2419</v>
      </c>
      <c r="B990" s="1" t="s">
        <v>940</v>
      </c>
      <c r="C990">
        <v>20</v>
      </c>
      <c r="D990" s="1" t="s">
        <v>12</v>
      </c>
      <c r="E990" s="1" t="s">
        <v>24</v>
      </c>
      <c r="F990" s="1" t="s">
        <v>97</v>
      </c>
      <c r="G990" s="1" t="s">
        <v>98</v>
      </c>
      <c r="H990" s="1" t="s">
        <v>155</v>
      </c>
      <c r="I990">
        <v>535</v>
      </c>
      <c r="J990">
        <v>4628</v>
      </c>
      <c r="K990">
        <v>5588</v>
      </c>
      <c r="L990">
        <v>5749</v>
      </c>
      <c r="M990">
        <v>16500</v>
      </c>
      <c r="N990" s="2">
        <v>45807</v>
      </c>
      <c r="O990" s="2">
        <v>45791</v>
      </c>
      <c r="P990" s="1" t="s">
        <v>25</v>
      </c>
      <c r="Q990" s="1" t="s">
        <v>31</v>
      </c>
      <c r="R990" s="1" t="s">
        <v>87</v>
      </c>
      <c r="S990">
        <v>784</v>
      </c>
      <c r="T990" s="1" t="s">
        <v>2420</v>
      </c>
    </row>
    <row r="991" spans="1:20" x14ac:dyDescent="0.3">
      <c r="A991" s="1" t="s">
        <v>2421</v>
      </c>
      <c r="B991" s="1" t="s">
        <v>151</v>
      </c>
      <c r="C991">
        <v>37</v>
      </c>
      <c r="D991" s="1" t="s">
        <v>12</v>
      </c>
      <c r="E991" s="1" t="s">
        <v>27</v>
      </c>
      <c r="F991" s="1" t="s">
        <v>114</v>
      </c>
      <c r="G991" s="1" t="s">
        <v>158</v>
      </c>
      <c r="H991" s="1" t="s">
        <v>86</v>
      </c>
      <c r="I991">
        <v>659</v>
      </c>
      <c r="J991">
        <v>2867</v>
      </c>
      <c r="K991">
        <v>4407</v>
      </c>
      <c r="L991">
        <v>11185</v>
      </c>
      <c r="M991">
        <v>19118</v>
      </c>
      <c r="N991" s="2">
        <v>45679</v>
      </c>
      <c r="O991" s="2">
        <v>45818</v>
      </c>
      <c r="P991" s="1" t="s">
        <v>93</v>
      </c>
      <c r="Q991" s="1" t="s">
        <v>9</v>
      </c>
      <c r="R991" s="1" t="s">
        <v>17</v>
      </c>
      <c r="S991">
        <v>126</v>
      </c>
      <c r="T991" s="1" t="s">
        <v>2422</v>
      </c>
    </row>
    <row r="992" spans="1:20" x14ac:dyDescent="0.3">
      <c r="A992" s="1" t="s">
        <v>2423</v>
      </c>
      <c r="B992" s="1" t="s">
        <v>331</v>
      </c>
      <c r="C992">
        <v>1</v>
      </c>
      <c r="D992" s="1" t="s">
        <v>12</v>
      </c>
      <c r="E992" s="1" t="s">
        <v>15</v>
      </c>
      <c r="F992" s="1" t="s">
        <v>84</v>
      </c>
      <c r="G992" s="1" t="s">
        <v>125</v>
      </c>
      <c r="H992" s="1" t="s">
        <v>155</v>
      </c>
      <c r="I992">
        <v>1007</v>
      </c>
      <c r="J992">
        <v>3297</v>
      </c>
      <c r="K992">
        <v>1026</v>
      </c>
      <c r="L992">
        <v>6922</v>
      </c>
      <c r="M992">
        <v>12252</v>
      </c>
      <c r="N992" s="2">
        <v>45922</v>
      </c>
      <c r="O992" s="2">
        <v>45798</v>
      </c>
      <c r="P992" s="1" t="s">
        <v>110</v>
      </c>
      <c r="Q992" s="1" t="s">
        <v>9</v>
      </c>
      <c r="R992" s="1" t="s">
        <v>87</v>
      </c>
      <c r="S992">
        <v>225</v>
      </c>
      <c r="T992" s="1" t="s">
        <v>2424</v>
      </c>
    </row>
    <row r="993" spans="1:20" x14ac:dyDescent="0.3">
      <c r="A993" s="1" t="s">
        <v>2425</v>
      </c>
      <c r="B993" s="1" t="s">
        <v>55</v>
      </c>
      <c r="C993">
        <v>35</v>
      </c>
      <c r="D993" s="1" t="s">
        <v>23</v>
      </c>
      <c r="E993" s="1" t="s">
        <v>33</v>
      </c>
      <c r="F993" s="1" t="s">
        <v>97</v>
      </c>
      <c r="G993" s="1" t="s">
        <v>98</v>
      </c>
      <c r="H993" s="1" t="s">
        <v>99</v>
      </c>
      <c r="I993">
        <v>400</v>
      </c>
      <c r="J993">
        <v>3499</v>
      </c>
      <c r="K993">
        <v>2840</v>
      </c>
      <c r="L993">
        <v>14460</v>
      </c>
      <c r="M993">
        <v>21199</v>
      </c>
      <c r="N993" s="2">
        <v>45745</v>
      </c>
      <c r="O993" s="2">
        <v>45953</v>
      </c>
      <c r="P993" s="1" t="s">
        <v>93</v>
      </c>
      <c r="Q993" s="1" t="s">
        <v>16</v>
      </c>
      <c r="R993" s="1" t="s">
        <v>87</v>
      </c>
      <c r="S993">
        <v>581</v>
      </c>
      <c r="T993" s="1" t="s">
        <v>2426</v>
      </c>
    </row>
    <row r="994" spans="1:20" x14ac:dyDescent="0.3">
      <c r="A994" s="1" t="s">
        <v>2427</v>
      </c>
      <c r="B994" s="1" t="s">
        <v>58</v>
      </c>
      <c r="C994">
        <v>31</v>
      </c>
      <c r="D994" s="1" t="s">
        <v>12</v>
      </c>
      <c r="E994" s="1" t="s">
        <v>33</v>
      </c>
      <c r="F994" s="1" t="s">
        <v>135</v>
      </c>
      <c r="G994" s="1" t="s">
        <v>158</v>
      </c>
      <c r="H994" s="1" t="s">
        <v>99</v>
      </c>
      <c r="I994">
        <v>334</v>
      </c>
      <c r="J994">
        <v>4807</v>
      </c>
      <c r="K994">
        <v>1813</v>
      </c>
      <c r="L994">
        <v>3060</v>
      </c>
      <c r="M994">
        <v>10014</v>
      </c>
      <c r="N994" s="2">
        <v>45691</v>
      </c>
      <c r="O994" s="2">
        <v>45689</v>
      </c>
      <c r="P994" s="1" t="s">
        <v>14</v>
      </c>
      <c r="Q994" s="1" t="s">
        <v>9</v>
      </c>
      <c r="R994" s="1" t="s">
        <v>17</v>
      </c>
      <c r="S994">
        <v>954</v>
      </c>
      <c r="T994" s="1" t="s">
        <v>2428</v>
      </c>
    </row>
    <row r="995" spans="1:20" x14ac:dyDescent="0.3">
      <c r="A995" s="1" t="s">
        <v>2429</v>
      </c>
      <c r="B995" s="1" t="s">
        <v>625</v>
      </c>
      <c r="C995">
        <v>68</v>
      </c>
      <c r="D995" s="1" t="s">
        <v>23</v>
      </c>
      <c r="E995" s="1" t="s">
        <v>38</v>
      </c>
      <c r="F995" s="1" t="s">
        <v>124</v>
      </c>
      <c r="G995" s="1" t="s">
        <v>104</v>
      </c>
      <c r="H995" s="1" t="s">
        <v>165</v>
      </c>
      <c r="I995">
        <v>663</v>
      </c>
      <c r="J995">
        <v>4984</v>
      </c>
      <c r="K995">
        <v>4180</v>
      </c>
      <c r="L995">
        <v>9166</v>
      </c>
      <c r="M995">
        <v>18993</v>
      </c>
      <c r="N995" s="2">
        <v>45785</v>
      </c>
      <c r="O995" s="2">
        <v>45922</v>
      </c>
      <c r="P995" s="1" t="s">
        <v>19</v>
      </c>
      <c r="Q995" s="1" t="s">
        <v>31</v>
      </c>
      <c r="R995" s="1" t="s">
        <v>87</v>
      </c>
      <c r="S995">
        <v>763</v>
      </c>
      <c r="T995" s="1" t="s">
        <v>2430</v>
      </c>
    </row>
    <row r="996" spans="1:20" x14ac:dyDescent="0.3">
      <c r="A996" s="1" t="s">
        <v>2431</v>
      </c>
      <c r="B996" s="1" t="s">
        <v>214</v>
      </c>
      <c r="C996">
        <v>32</v>
      </c>
      <c r="D996" s="1" t="s">
        <v>23</v>
      </c>
      <c r="E996" s="1" t="s">
        <v>38</v>
      </c>
      <c r="F996" s="1" t="s">
        <v>114</v>
      </c>
      <c r="G996" s="1" t="s">
        <v>91</v>
      </c>
      <c r="H996" s="1" t="s">
        <v>86</v>
      </c>
      <c r="I996">
        <v>1119</v>
      </c>
      <c r="J996">
        <v>2917</v>
      </c>
      <c r="K996">
        <v>6247</v>
      </c>
      <c r="L996">
        <v>3799</v>
      </c>
      <c r="M996">
        <v>14082</v>
      </c>
      <c r="N996" s="2">
        <v>45925</v>
      </c>
      <c r="O996" s="2">
        <v>45950</v>
      </c>
      <c r="P996" s="1" t="s">
        <v>14</v>
      </c>
      <c r="Q996" s="1" t="s">
        <v>31</v>
      </c>
      <c r="R996" s="1" t="s">
        <v>22</v>
      </c>
      <c r="S996">
        <v>348</v>
      </c>
      <c r="T996" s="1" t="s">
        <v>2432</v>
      </c>
    </row>
    <row r="997" spans="1:20" x14ac:dyDescent="0.3">
      <c r="A997" s="1" t="s">
        <v>2433</v>
      </c>
      <c r="B997" s="1" t="s">
        <v>55</v>
      </c>
      <c r="C997">
        <v>48</v>
      </c>
      <c r="D997" s="1" t="s">
        <v>12</v>
      </c>
      <c r="E997" s="1" t="s">
        <v>38</v>
      </c>
      <c r="F997" s="1" t="s">
        <v>84</v>
      </c>
      <c r="G997" s="1" t="s">
        <v>85</v>
      </c>
      <c r="H997" s="1" t="s">
        <v>13</v>
      </c>
      <c r="I997">
        <v>934</v>
      </c>
      <c r="J997">
        <v>2563</v>
      </c>
      <c r="K997">
        <v>973</v>
      </c>
      <c r="L997">
        <v>8568</v>
      </c>
      <c r="M997">
        <v>13038</v>
      </c>
      <c r="N997" s="2">
        <v>45678</v>
      </c>
      <c r="O997" s="2">
        <v>45857</v>
      </c>
      <c r="P997" s="1" t="s">
        <v>14</v>
      </c>
      <c r="Q997" s="1" t="s">
        <v>21</v>
      </c>
      <c r="R997" s="1" t="s">
        <v>17</v>
      </c>
      <c r="S997">
        <v>875</v>
      </c>
      <c r="T997" s="1" t="s">
        <v>2434</v>
      </c>
    </row>
    <row r="998" spans="1:20" x14ac:dyDescent="0.3">
      <c r="A998" s="1" t="s">
        <v>2435</v>
      </c>
      <c r="B998" s="1" t="s">
        <v>451</v>
      </c>
      <c r="C998">
        <v>52</v>
      </c>
      <c r="D998" s="1" t="s">
        <v>23</v>
      </c>
      <c r="E998" s="1" t="s">
        <v>27</v>
      </c>
      <c r="F998" s="1" t="s">
        <v>97</v>
      </c>
      <c r="G998" s="1" t="s">
        <v>125</v>
      </c>
      <c r="H998" s="1" t="s">
        <v>186</v>
      </c>
      <c r="I998">
        <v>1413</v>
      </c>
      <c r="J998">
        <v>2031</v>
      </c>
      <c r="K998">
        <v>2707</v>
      </c>
      <c r="L998">
        <v>4140</v>
      </c>
      <c r="M998">
        <v>10291</v>
      </c>
      <c r="N998" s="2">
        <v>45669</v>
      </c>
      <c r="O998" s="2">
        <v>46000</v>
      </c>
      <c r="P998" s="1" t="s">
        <v>35</v>
      </c>
      <c r="Q998" s="1" t="s">
        <v>21</v>
      </c>
      <c r="R998" s="1" t="s">
        <v>17</v>
      </c>
      <c r="S998">
        <v>911</v>
      </c>
      <c r="T998" s="1" t="s">
        <v>2436</v>
      </c>
    </row>
    <row r="999" spans="1:20" x14ac:dyDescent="0.3">
      <c r="A999" s="1" t="s">
        <v>2437</v>
      </c>
      <c r="B999" s="1" t="s">
        <v>1873</v>
      </c>
      <c r="C999">
        <v>74</v>
      </c>
      <c r="D999" s="1" t="s">
        <v>23</v>
      </c>
      <c r="E999" s="1" t="s">
        <v>36</v>
      </c>
      <c r="F999" s="1" t="s">
        <v>84</v>
      </c>
      <c r="G999" s="1" t="s">
        <v>91</v>
      </c>
      <c r="H999" s="1" t="s">
        <v>13</v>
      </c>
      <c r="I999">
        <v>1054</v>
      </c>
      <c r="J999">
        <v>2477</v>
      </c>
      <c r="K999">
        <v>4855</v>
      </c>
      <c r="L999">
        <v>12426</v>
      </c>
      <c r="M999">
        <v>20812</v>
      </c>
      <c r="N999" s="2">
        <v>45914</v>
      </c>
      <c r="O999" s="2">
        <v>45923</v>
      </c>
      <c r="P999" s="1" t="s">
        <v>25</v>
      </c>
      <c r="Q999" s="1" t="s">
        <v>31</v>
      </c>
      <c r="R999" s="1" t="s">
        <v>17</v>
      </c>
      <c r="S999">
        <v>724</v>
      </c>
      <c r="T999" s="1" t="s">
        <v>2438</v>
      </c>
    </row>
    <row r="1000" spans="1:20" x14ac:dyDescent="0.3">
      <c r="A1000" s="1" t="s">
        <v>2439</v>
      </c>
      <c r="B1000" s="1" t="s">
        <v>113</v>
      </c>
      <c r="C1000">
        <v>5</v>
      </c>
      <c r="D1000" s="1" t="s">
        <v>12</v>
      </c>
      <c r="E1000" s="1" t="s">
        <v>36</v>
      </c>
      <c r="F1000" s="1" t="s">
        <v>103</v>
      </c>
      <c r="G1000" s="1" t="s">
        <v>98</v>
      </c>
      <c r="H1000" s="1" t="s">
        <v>26</v>
      </c>
      <c r="I1000">
        <v>789</v>
      </c>
      <c r="J1000">
        <v>2176</v>
      </c>
      <c r="K1000">
        <v>7807</v>
      </c>
      <c r="L1000">
        <v>4541</v>
      </c>
      <c r="M1000">
        <v>15313</v>
      </c>
      <c r="N1000" s="2">
        <v>45764</v>
      </c>
      <c r="O1000" s="2">
        <v>45839</v>
      </c>
      <c r="P1000" s="1" t="s">
        <v>19</v>
      </c>
      <c r="Q1000" s="1" t="s">
        <v>21</v>
      </c>
      <c r="R1000" s="1" t="s">
        <v>87</v>
      </c>
      <c r="S1000">
        <v>225</v>
      </c>
      <c r="T1000" s="1" t="s">
        <v>2440</v>
      </c>
    </row>
    <row r="1001" spans="1:20" x14ac:dyDescent="0.3">
      <c r="A1001" s="1" t="s">
        <v>2441</v>
      </c>
      <c r="B1001" s="1" t="s">
        <v>615</v>
      </c>
      <c r="C1001">
        <v>14</v>
      </c>
      <c r="D1001" s="1" t="s">
        <v>23</v>
      </c>
      <c r="E1001" s="1" t="s">
        <v>40</v>
      </c>
      <c r="F1001" s="1" t="s">
        <v>114</v>
      </c>
      <c r="G1001" s="1" t="s">
        <v>85</v>
      </c>
      <c r="H1001" s="1" t="s">
        <v>92</v>
      </c>
      <c r="I1001">
        <v>1377</v>
      </c>
      <c r="J1001">
        <v>4321</v>
      </c>
      <c r="K1001">
        <v>6208</v>
      </c>
      <c r="L1001">
        <v>13900</v>
      </c>
      <c r="M1001">
        <v>25806</v>
      </c>
      <c r="N1001" s="2">
        <v>45721</v>
      </c>
      <c r="O1001" s="2">
        <v>45936</v>
      </c>
      <c r="P1001" s="1" t="s">
        <v>34</v>
      </c>
      <c r="Q1001" s="1" t="s">
        <v>16</v>
      </c>
      <c r="R1001" s="1" t="s">
        <v>87</v>
      </c>
      <c r="S1001">
        <v>795</v>
      </c>
      <c r="T1001" s="1" t="s">
        <v>2442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B833-6A62-4897-A350-E8A1D54C0913}">
  <dimension ref="A3:C186"/>
  <sheetViews>
    <sheetView topLeftCell="A169" workbookViewId="0">
      <selection activeCell="AM22" sqref="AM22"/>
    </sheetView>
  </sheetViews>
  <sheetFormatPr defaultRowHeight="14.4" x14ac:dyDescent="0.3"/>
  <cols>
    <col min="1" max="2" width="16.44140625" bestFit="1" customWidth="1"/>
  </cols>
  <sheetData>
    <row r="3" spans="1:2" x14ac:dyDescent="0.3">
      <c r="A3" s="3" t="s">
        <v>2444</v>
      </c>
      <c r="B3" t="s">
        <v>2443</v>
      </c>
    </row>
    <row r="4" spans="1:2" x14ac:dyDescent="0.3">
      <c r="A4" s="4" t="s">
        <v>2446</v>
      </c>
      <c r="B4" s="1">
        <v>77</v>
      </c>
    </row>
    <row r="5" spans="1:2" x14ac:dyDescent="0.3">
      <c r="A5" s="4" t="s">
        <v>2447</v>
      </c>
      <c r="B5" s="1">
        <v>66</v>
      </c>
    </row>
    <row r="6" spans="1:2" x14ac:dyDescent="0.3">
      <c r="A6" s="4" t="s">
        <v>2448</v>
      </c>
      <c r="B6" s="1">
        <v>86</v>
      </c>
    </row>
    <row r="7" spans="1:2" x14ac:dyDescent="0.3">
      <c r="A7" s="4" t="s">
        <v>2449</v>
      </c>
      <c r="B7" s="1">
        <v>88</v>
      </c>
    </row>
    <row r="8" spans="1:2" x14ac:dyDescent="0.3">
      <c r="A8" s="4" t="s">
        <v>2450</v>
      </c>
      <c r="B8" s="1">
        <v>89</v>
      </c>
    </row>
    <row r="9" spans="1:2" x14ac:dyDescent="0.3">
      <c r="A9" s="4" t="s">
        <v>2451</v>
      </c>
      <c r="B9" s="1">
        <v>78</v>
      </c>
    </row>
    <row r="10" spans="1:2" x14ac:dyDescent="0.3">
      <c r="A10" s="4" t="s">
        <v>2452</v>
      </c>
      <c r="B10" s="1">
        <v>111</v>
      </c>
    </row>
    <row r="11" spans="1:2" x14ac:dyDescent="0.3">
      <c r="A11" s="4" t="s">
        <v>2453</v>
      </c>
      <c r="B11" s="1">
        <v>70</v>
      </c>
    </row>
    <row r="12" spans="1:2" x14ac:dyDescent="0.3">
      <c r="A12" s="4" t="s">
        <v>2454</v>
      </c>
      <c r="B12" s="1">
        <v>98</v>
      </c>
    </row>
    <row r="13" spans="1:2" x14ac:dyDescent="0.3">
      <c r="A13" s="4" t="s">
        <v>2455</v>
      </c>
      <c r="B13" s="1">
        <v>83</v>
      </c>
    </row>
    <row r="14" spans="1:2" x14ac:dyDescent="0.3">
      <c r="A14" s="4" t="s">
        <v>2456</v>
      </c>
      <c r="B14" s="1">
        <v>76</v>
      </c>
    </row>
    <row r="15" spans="1:2" x14ac:dyDescent="0.3">
      <c r="A15" s="4" t="s">
        <v>2457</v>
      </c>
      <c r="B15" s="1">
        <v>78</v>
      </c>
    </row>
    <row r="16" spans="1:2" x14ac:dyDescent="0.3">
      <c r="A16" s="4" t="s">
        <v>2445</v>
      </c>
      <c r="B16" s="1">
        <v>1000</v>
      </c>
    </row>
    <row r="20" spans="1:2" x14ac:dyDescent="0.3">
      <c r="A20" s="3" t="s">
        <v>2444</v>
      </c>
      <c r="B20" t="s">
        <v>2443</v>
      </c>
    </row>
    <row r="21" spans="1:2" x14ac:dyDescent="0.3">
      <c r="A21" s="4" t="s">
        <v>34</v>
      </c>
      <c r="B21" s="1">
        <v>97</v>
      </c>
    </row>
    <row r="22" spans="1:2" x14ac:dyDescent="0.3">
      <c r="A22" s="4" t="s">
        <v>177</v>
      </c>
      <c r="B22" s="1">
        <v>96</v>
      </c>
    </row>
    <row r="23" spans="1:2" x14ac:dyDescent="0.3">
      <c r="A23" s="4" t="s">
        <v>110</v>
      </c>
      <c r="B23" s="1">
        <v>96</v>
      </c>
    </row>
    <row r="24" spans="1:2" x14ac:dyDescent="0.3">
      <c r="A24" s="4" t="s">
        <v>116</v>
      </c>
      <c r="B24" s="1">
        <v>110</v>
      </c>
    </row>
    <row r="25" spans="1:2" x14ac:dyDescent="0.3">
      <c r="A25" s="4" t="s">
        <v>136</v>
      </c>
      <c r="B25" s="1">
        <v>82</v>
      </c>
    </row>
    <row r="26" spans="1:2" x14ac:dyDescent="0.3">
      <c r="A26" s="4" t="s">
        <v>14</v>
      </c>
      <c r="B26" s="1">
        <v>98</v>
      </c>
    </row>
    <row r="27" spans="1:2" x14ac:dyDescent="0.3">
      <c r="A27" s="4" t="s">
        <v>93</v>
      </c>
      <c r="B27" s="1">
        <v>110</v>
      </c>
    </row>
    <row r="28" spans="1:2" x14ac:dyDescent="0.3">
      <c r="A28" s="4" t="s">
        <v>25</v>
      </c>
      <c r="B28" s="1">
        <v>109</v>
      </c>
    </row>
    <row r="29" spans="1:2" x14ac:dyDescent="0.3">
      <c r="A29" s="4" t="s">
        <v>35</v>
      </c>
      <c r="B29" s="1">
        <v>110</v>
      </c>
    </row>
    <row r="30" spans="1:2" x14ac:dyDescent="0.3">
      <c r="A30" s="4" t="s">
        <v>19</v>
      </c>
      <c r="B30" s="1">
        <v>92</v>
      </c>
    </row>
    <row r="31" spans="1:2" x14ac:dyDescent="0.3">
      <c r="A31" s="4" t="s">
        <v>2445</v>
      </c>
      <c r="B31" s="1">
        <v>1000</v>
      </c>
    </row>
    <row r="36" spans="1:2" x14ac:dyDescent="0.3">
      <c r="A36" s="3" t="s">
        <v>2444</v>
      </c>
      <c r="B36" t="s">
        <v>2459</v>
      </c>
    </row>
    <row r="37" spans="1:2" x14ac:dyDescent="0.3">
      <c r="A37" s="4" t="s">
        <v>165</v>
      </c>
      <c r="B37" s="1">
        <v>56</v>
      </c>
    </row>
    <row r="38" spans="1:2" x14ac:dyDescent="0.3">
      <c r="A38" s="4" t="s">
        <v>13</v>
      </c>
      <c r="B38" s="1">
        <v>60</v>
      </c>
    </row>
    <row r="39" spans="1:2" x14ac:dyDescent="0.3">
      <c r="A39" s="4" t="s">
        <v>215</v>
      </c>
      <c r="B39" s="1">
        <v>61</v>
      </c>
    </row>
    <row r="40" spans="1:2" x14ac:dyDescent="0.3">
      <c r="A40" s="4" t="s">
        <v>145</v>
      </c>
      <c r="B40" s="1">
        <v>50</v>
      </c>
    </row>
    <row r="41" spans="1:2" x14ac:dyDescent="0.3">
      <c r="A41" s="4" t="s">
        <v>105</v>
      </c>
      <c r="B41" s="1">
        <v>70</v>
      </c>
    </row>
    <row r="42" spans="1:2" x14ac:dyDescent="0.3">
      <c r="A42" s="4" t="s">
        <v>29</v>
      </c>
      <c r="B42" s="1">
        <v>53</v>
      </c>
    </row>
    <row r="43" spans="1:2" x14ac:dyDescent="0.3">
      <c r="A43" s="4" t="s">
        <v>18</v>
      </c>
      <c r="B43" s="1">
        <v>58</v>
      </c>
    </row>
    <row r="44" spans="1:2" x14ac:dyDescent="0.3">
      <c r="A44" s="4" t="s">
        <v>26</v>
      </c>
      <c r="B44" s="1">
        <v>60</v>
      </c>
    </row>
    <row r="45" spans="1:2" x14ac:dyDescent="0.3">
      <c r="A45" s="4" t="s">
        <v>199</v>
      </c>
      <c r="B45" s="1">
        <v>56</v>
      </c>
    </row>
    <row r="46" spans="1:2" x14ac:dyDescent="0.3">
      <c r="A46" s="4" t="s">
        <v>155</v>
      </c>
      <c r="B46" s="1">
        <v>68</v>
      </c>
    </row>
    <row r="47" spans="1:2" x14ac:dyDescent="0.3">
      <c r="A47" s="4" t="s">
        <v>37</v>
      </c>
      <c r="B47" s="1">
        <v>74</v>
      </c>
    </row>
    <row r="48" spans="1:2" x14ac:dyDescent="0.3">
      <c r="A48" s="4" t="s">
        <v>99</v>
      </c>
      <c r="B48" s="1">
        <v>64</v>
      </c>
    </row>
    <row r="49" spans="1:2" x14ac:dyDescent="0.3">
      <c r="A49" s="4" t="s">
        <v>86</v>
      </c>
      <c r="B49" s="1">
        <v>72</v>
      </c>
    </row>
    <row r="50" spans="1:2" x14ac:dyDescent="0.3">
      <c r="A50" s="4" t="s">
        <v>92</v>
      </c>
      <c r="B50" s="1">
        <v>58</v>
      </c>
    </row>
    <row r="51" spans="1:2" x14ac:dyDescent="0.3">
      <c r="A51" s="4" t="s">
        <v>186</v>
      </c>
      <c r="B51" s="1">
        <v>78</v>
      </c>
    </row>
    <row r="52" spans="1:2" x14ac:dyDescent="0.3">
      <c r="A52" s="4" t="s">
        <v>115</v>
      </c>
      <c r="B52" s="1">
        <v>62</v>
      </c>
    </row>
    <row r="53" spans="1:2" x14ac:dyDescent="0.3">
      <c r="A53" s="4" t="s">
        <v>2445</v>
      </c>
      <c r="B53" s="1">
        <v>1000</v>
      </c>
    </row>
    <row r="59" spans="1:2" x14ac:dyDescent="0.3">
      <c r="A59" s="3" t="s">
        <v>2444</v>
      </c>
      <c r="B59" t="s">
        <v>2459</v>
      </c>
    </row>
    <row r="60" spans="1:2" x14ac:dyDescent="0.3">
      <c r="A60" s="4" t="s">
        <v>158</v>
      </c>
      <c r="B60" s="1">
        <v>117</v>
      </c>
    </row>
    <row r="61" spans="1:2" x14ac:dyDescent="0.3">
      <c r="A61" s="4" t="s">
        <v>98</v>
      </c>
      <c r="B61" s="1">
        <v>150</v>
      </c>
    </row>
    <row r="62" spans="1:2" x14ac:dyDescent="0.3">
      <c r="A62" s="4" t="s">
        <v>104</v>
      </c>
      <c r="B62" s="1">
        <v>134</v>
      </c>
    </row>
    <row r="63" spans="1:2" x14ac:dyDescent="0.3">
      <c r="A63" s="4" t="s">
        <v>125</v>
      </c>
      <c r="B63" s="1">
        <v>155</v>
      </c>
    </row>
    <row r="64" spans="1:2" x14ac:dyDescent="0.3">
      <c r="A64" s="4" t="s">
        <v>85</v>
      </c>
      <c r="B64" s="1">
        <v>152</v>
      </c>
    </row>
    <row r="65" spans="1:3" x14ac:dyDescent="0.3">
      <c r="A65" s="4" t="s">
        <v>91</v>
      </c>
      <c r="B65" s="1">
        <v>152</v>
      </c>
    </row>
    <row r="66" spans="1:3" x14ac:dyDescent="0.3">
      <c r="A66" s="4" t="s">
        <v>176</v>
      </c>
      <c r="B66" s="1">
        <v>140</v>
      </c>
    </row>
    <row r="67" spans="1:3" x14ac:dyDescent="0.3">
      <c r="A67" s="4" t="s">
        <v>2445</v>
      </c>
      <c r="B67" s="1">
        <v>1000</v>
      </c>
    </row>
    <row r="71" spans="1:3" x14ac:dyDescent="0.3">
      <c r="A71" s="3" t="s">
        <v>2444</v>
      </c>
      <c r="B71" t="s">
        <v>2443</v>
      </c>
    </row>
    <row r="72" spans="1:3" x14ac:dyDescent="0.3">
      <c r="A72" s="4" t="s">
        <v>12</v>
      </c>
      <c r="B72" s="1">
        <v>484</v>
      </c>
      <c r="C72">
        <f>GETPIVOTDATA("Patient_ID",$A$71,"Gender","Female")</f>
        <v>484</v>
      </c>
    </row>
    <row r="73" spans="1:3" x14ac:dyDescent="0.3">
      <c r="A73" s="4" t="s">
        <v>23</v>
      </c>
      <c r="B73" s="1">
        <v>516</v>
      </c>
      <c r="C73">
        <f>GETPIVOTDATA("Patient_ID",$A$71,"Gender","Male")</f>
        <v>516</v>
      </c>
    </row>
    <row r="74" spans="1:3" x14ac:dyDescent="0.3">
      <c r="A74" s="4" t="s">
        <v>2445</v>
      </c>
      <c r="B74" s="1">
        <v>1000</v>
      </c>
      <c r="C74">
        <f>GETPIVOTDATA("Patient_ID",$A$71)</f>
        <v>1000</v>
      </c>
    </row>
    <row r="77" spans="1:3" x14ac:dyDescent="0.3">
      <c r="A77" s="3" t="s">
        <v>2444</v>
      </c>
      <c r="B77" t="s">
        <v>2443</v>
      </c>
    </row>
    <row r="78" spans="1:3" x14ac:dyDescent="0.3">
      <c r="A78" s="4" t="s">
        <v>97</v>
      </c>
      <c r="B78" s="1">
        <v>123</v>
      </c>
    </row>
    <row r="79" spans="1:3" x14ac:dyDescent="0.3">
      <c r="A79" s="4" t="s">
        <v>109</v>
      </c>
      <c r="B79" s="1">
        <v>126</v>
      </c>
    </row>
    <row r="80" spans="1:3" x14ac:dyDescent="0.3">
      <c r="A80" s="4" t="s">
        <v>124</v>
      </c>
      <c r="B80" s="1">
        <v>115</v>
      </c>
    </row>
    <row r="81" spans="1:2" x14ac:dyDescent="0.3">
      <c r="A81" s="4" t="s">
        <v>84</v>
      </c>
      <c r="B81" s="1">
        <v>107</v>
      </c>
    </row>
    <row r="82" spans="1:2" x14ac:dyDescent="0.3">
      <c r="A82" s="4" t="s">
        <v>114</v>
      </c>
      <c r="B82" s="1">
        <v>145</v>
      </c>
    </row>
    <row r="83" spans="1:2" x14ac:dyDescent="0.3">
      <c r="A83" s="4" t="s">
        <v>103</v>
      </c>
      <c r="B83" s="1">
        <v>133</v>
      </c>
    </row>
    <row r="84" spans="1:2" x14ac:dyDescent="0.3">
      <c r="A84" s="4" t="s">
        <v>135</v>
      </c>
      <c r="B84" s="1">
        <v>124</v>
      </c>
    </row>
    <row r="85" spans="1:2" x14ac:dyDescent="0.3">
      <c r="A85" s="4" t="s">
        <v>120</v>
      </c>
      <c r="B85" s="1">
        <v>127</v>
      </c>
    </row>
    <row r="86" spans="1:2" x14ac:dyDescent="0.3">
      <c r="A86" s="4" t="s">
        <v>2445</v>
      </c>
      <c r="B86" s="1">
        <v>1000</v>
      </c>
    </row>
    <row r="91" spans="1:2" x14ac:dyDescent="0.3">
      <c r="A91" s="3" t="s">
        <v>2444</v>
      </c>
      <c r="B91" t="s">
        <v>2460</v>
      </c>
    </row>
    <row r="92" spans="1:2" x14ac:dyDescent="0.3">
      <c r="A92" s="4" t="s">
        <v>97</v>
      </c>
      <c r="B92" s="1">
        <v>1871194</v>
      </c>
    </row>
    <row r="93" spans="1:2" x14ac:dyDescent="0.3">
      <c r="A93" s="4" t="s">
        <v>109</v>
      </c>
      <c r="B93" s="1">
        <v>1915858</v>
      </c>
    </row>
    <row r="94" spans="1:2" x14ac:dyDescent="0.3">
      <c r="A94" s="4" t="s">
        <v>124</v>
      </c>
      <c r="B94" s="1">
        <v>1857336</v>
      </c>
    </row>
    <row r="95" spans="1:2" x14ac:dyDescent="0.3">
      <c r="A95" s="4" t="s">
        <v>84</v>
      </c>
      <c r="B95" s="1">
        <v>1650982</v>
      </c>
    </row>
    <row r="96" spans="1:2" x14ac:dyDescent="0.3">
      <c r="A96" s="4" t="s">
        <v>114</v>
      </c>
      <c r="B96" s="1">
        <v>2359949</v>
      </c>
    </row>
    <row r="97" spans="1:2" x14ac:dyDescent="0.3">
      <c r="A97" s="4" t="s">
        <v>103</v>
      </c>
      <c r="B97" s="1">
        <v>2038745</v>
      </c>
    </row>
    <row r="98" spans="1:2" x14ac:dyDescent="0.3">
      <c r="A98" s="4" t="s">
        <v>135</v>
      </c>
      <c r="B98" s="1">
        <v>1893883</v>
      </c>
    </row>
    <row r="99" spans="1:2" x14ac:dyDescent="0.3">
      <c r="A99" s="4" t="s">
        <v>120</v>
      </c>
      <c r="B99" s="1">
        <v>2014783</v>
      </c>
    </row>
    <row r="100" spans="1:2" x14ac:dyDescent="0.3">
      <c r="A100" s="4" t="s">
        <v>2445</v>
      </c>
      <c r="B100" s="1">
        <v>15602730</v>
      </c>
    </row>
    <row r="103" spans="1:2" x14ac:dyDescent="0.3">
      <c r="A103" s="3" t="s">
        <v>2444</v>
      </c>
      <c r="B103" t="s">
        <v>2461</v>
      </c>
    </row>
    <row r="104" spans="1:2" x14ac:dyDescent="0.3">
      <c r="A104" s="4" t="s">
        <v>97</v>
      </c>
      <c r="B104" s="1">
        <v>15212.959349593495</v>
      </c>
    </row>
    <row r="105" spans="1:2" x14ac:dyDescent="0.3">
      <c r="A105" s="4" t="s">
        <v>109</v>
      </c>
      <c r="B105" s="1">
        <v>15205.222222222223</v>
      </c>
    </row>
    <row r="106" spans="1:2" x14ac:dyDescent="0.3">
      <c r="A106" s="4" t="s">
        <v>124</v>
      </c>
      <c r="B106" s="1">
        <v>16150.747826086956</v>
      </c>
    </row>
    <row r="107" spans="1:2" x14ac:dyDescent="0.3">
      <c r="A107" s="4" t="s">
        <v>84</v>
      </c>
      <c r="B107" s="1">
        <v>15429.73831775701</v>
      </c>
    </row>
    <row r="108" spans="1:2" x14ac:dyDescent="0.3">
      <c r="A108" s="4" t="s">
        <v>114</v>
      </c>
      <c r="B108" s="1">
        <v>16275.510344827586</v>
      </c>
    </row>
    <row r="109" spans="1:2" x14ac:dyDescent="0.3">
      <c r="A109" s="4" t="s">
        <v>103</v>
      </c>
      <c r="B109" s="1">
        <v>15328.90977443609</v>
      </c>
    </row>
    <row r="110" spans="1:2" x14ac:dyDescent="0.3">
      <c r="A110" s="4" t="s">
        <v>135</v>
      </c>
      <c r="B110" s="1">
        <v>15273.25</v>
      </c>
    </row>
    <row r="111" spans="1:2" x14ac:dyDescent="0.3">
      <c r="A111" s="4" t="s">
        <v>120</v>
      </c>
      <c r="B111" s="1">
        <v>15864.433070866142</v>
      </c>
    </row>
    <row r="112" spans="1:2" x14ac:dyDescent="0.3">
      <c r="A112" s="4" t="s">
        <v>2445</v>
      </c>
      <c r="B112" s="1">
        <v>15602.73</v>
      </c>
    </row>
    <row r="117" spans="1:1" x14ac:dyDescent="0.3">
      <c r="A117" s="3" t="s">
        <v>2444</v>
      </c>
    </row>
    <row r="118" spans="1:1" x14ac:dyDescent="0.3">
      <c r="A118" s="4" t="s">
        <v>97</v>
      </c>
    </row>
    <row r="119" spans="1:1" x14ac:dyDescent="0.3">
      <c r="A119" s="4" t="s">
        <v>109</v>
      </c>
    </row>
    <row r="120" spans="1:1" x14ac:dyDescent="0.3">
      <c r="A120" s="4" t="s">
        <v>124</v>
      </c>
    </row>
    <row r="121" spans="1:1" x14ac:dyDescent="0.3">
      <c r="A121" s="4" t="s">
        <v>84</v>
      </c>
    </row>
    <row r="122" spans="1:1" x14ac:dyDescent="0.3">
      <c r="A122" s="4" t="s">
        <v>114</v>
      </c>
    </row>
    <row r="123" spans="1:1" x14ac:dyDescent="0.3">
      <c r="A123" s="4" t="s">
        <v>103</v>
      </c>
    </row>
    <row r="124" spans="1:1" x14ac:dyDescent="0.3">
      <c r="A124" s="4" t="s">
        <v>135</v>
      </c>
    </row>
    <row r="125" spans="1:1" x14ac:dyDescent="0.3">
      <c r="A125" s="4" t="s">
        <v>120</v>
      </c>
    </row>
    <row r="126" spans="1:1" x14ac:dyDescent="0.3">
      <c r="A126" s="4" t="s">
        <v>2445</v>
      </c>
    </row>
    <row r="129" spans="1:2" x14ac:dyDescent="0.3">
      <c r="A129" s="3" t="s">
        <v>2444</v>
      </c>
      <c r="B129" t="s">
        <v>2460</v>
      </c>
    </row>
    <row r="130" spans="1:2" x14ac:dyDescent="0.3">
      <c r="A130" s="4" t="s">
        <v>2446</v>
      </c>
      <c r="B130" s="1">
        <v>1203836</v>
      </c>
    </row>
    <row r="131" spans="1:2" x14ac:dyDescent="0.3">
      <c r="A131" s="4" t="s">
        <v>2447</v>
      </c>
      <c r="B131" s="1">
        <v>1060127</v>
      </c>
    </row>
    <row r="132" spans="1:2" x14ac:dyDescent="0.3">
      <c r="A132" s="4" t="s">
        <v>2448</v>
      </c>
      <c r="B132" s="1">
        <v>1301514</v>
      </c>
    </row>
    <row r="133" spans="1:2" x14ac:dyDescent="0.3">
      <c r="A133" s="4" t="s">
        <v>2449</v>
      </c>
      <c r="B133" s="1">
        <v>1292475</v>
      </c>
    </row>
    <row r="134" spans="1:2" x14ac:dyDescent="0.3">
      <c r="A134" s="4" t="s">
        <v>2450</v>
      </c>
      <c r="B134" s="1">
        <v>1387192</v>
      </c>
    </row>
    <row r="135" spans="1:2" x14ac:dyDescent="0.3">
      <c r="A135" s="4" t="s">
        <v>2451</v>
      </c>
      <c r="B135" s="1">
        <v>1183272</v>
      </c>
    </row>
    <row r="136" spans="1:2" x14ac:dyDescent="0.3">
      <c r="A136" s="4" t="s">
        <v>2452</v>
      </c>
      <c r="B136" s="1">
        <v>1801623</v>
      </c>
    </row>
    <row r="137" spans="1:2" x14ac:dyDescent="0.3">
      <c r="A137" s="4" t="s">
        <v>2453</v>
      </c>
      <c r="B137" s="1">
        <v>1080324</v>
      </c>
    </row>
    <row r="138" spans="1:2" x14ac:dyDescent="0.3">
      <c r="A138" s="4" t="s">
        <v>2454</v>
      </c>
      <c r="B138" s="1">
        <v>1548390</v>
      </c>
    </row>
    <row r="139" spans="1:2" x14ac:dyDescent="0.3">
      <c r="A139" s="4" t="s">
        <v>2455</v>
      </c>
      <c r="B139" s="1">
        <v>1326729</v>
      </c>
    </row>
    <row r="140" spans="1:2" x14ac:dyDescent="0.3">
      <c r="A140" s="4" t="s">
        <v>2456</v>
      </c>
      <c r="B140" s="1">
        <v>1220174</v>
      </c>
    </row>
    <row r="141" spans="1:2" x14ac:dyDescent="0.3">
      <c r="A141" s="4" t="s">
        <v>2457</v>
      </c>
      <c r="B141" s="1">
        <v>1197074</v>
      </c>
    </row>
    <row r="142" spans="1:2" x14ac:dyDescent="0.3">
      <c r="A142" s="4" t="s">
        <v>2445</v>
      </c>
      <c r="B142" s="1">
        <v>15602730</v>
      </c>
    </row>
    <row r="146" spans="1:2" x14ac:dyDescent="0.3">
      <c r="A146" s="3" t="s">
        <v>2444</v>
      </c>
      <c r="B146" t="s">
        <v>2460</v>
      </c>
    </row>
    <row r="147" spans="1:2" x14ac:dyDescent="0.3">
      <c r="A147" s="4" t="s">
        <v>158</v>
      </c>
      <c r="B147" s="1">
        <v>1801104</v>
      </c>
    </row>
    <row r="148" spans="1:2" x14ac:dyDescent="0.3">
      <c r="A148" s="4" t="s">
        <v>98</v>
      </c>
      <c r="B148" s="1">
        <v>2300149</v>
      </c>
    </row>
    <row r="149" spans="1:2" x14ac:dyDescent="0.3">
      <c r="A149" s="4" t="s">
        <v>104</v>
      </c>
      <c r="B149" s="1">
        <v>2129826</v>
      </c>
    </row>
    <row r="150" spans="1:2" x14ac:dyDescent="0.3">
      <c r="A150" s="4" t="s">
        <v>125</v>
      </c>
      <c r="B150" s="1">
        <v>2416822</v>
      </c>
    </row>
    <row r="151" spans="1:2" x14ac:dyDescent="0.3">
      <c r="A151" s="4" t="s">
        <v>85</v>
      </c>
      <c r="B151" s="1">
        <v>2378900</v>
      </c>
    </row>
    <row r="152" spans="1:2" x14ac:dyDescent="0.3">
      <c r="A152" s="4" t="s">
        <v>91</v>
      </c>
      <c r="B152" s="1">
        <v>2310655</v>
      </c>
    </row>
    <row r="153" spans="1:2" x14ac:dyDescent="0.3">
      <c r="A153" s="4" t="s">
        <v>176</v>
      </c>
      <c r="B153" s="1">
        <v>2265274</v>
      </c>
    </row>
    <row r="154" spans="1:2" x14ac:dyDescent="0.3">
      <c r="A154" s="4" t="s">
        <v>2445</v>
      </c>
      <c r="B154" s="1">
        <v>15602730</v>
      </c>
    </row>
    <row r="159" spans="1:2" x14ac:dyDescent="0.3">
      <c r="A159" s="3" t="s">
        <v>2444</v>
      </c>
      <c r="B159" t="s">
        <v>2460</v>
      </c>
    </row>
    <row r="160" spans="1:2" x14ac:dyDescent="0.3">
      <c r="A160" s="4" t="s">
        <v>97</v>
      </c>
      <c r="B160" s="5">
        <v>0.11992734604777497</v>
      </c>
    </row>
    <row r="161" spans="1:2" x14ac:dyDescent="0.3">
      <c r="A161" s="4" t="s">
        <v>109</v>
      </c>
      <c r="B161" s="5">
        <v>0.12278992202005674</v>
      </c>
    </row>
    <row r="162" spans="1:2" x14ac:dyDescent="0.3">
      <c r="A162" s="4" t="s">
        <v>124</v>
      </c>
      <c r="B162" s="5">
        <v>0.11903916814557453</v>
      </c>
    </row>
    <row r="163" spans="1:2" x14ac:dyDescent="0.3">
      <c r="A163" s="4" t="s">
        <v>84</v>
      </c>
      <c r="B163" s="5">
        <v>0.10581366209631263</v>
      </c>
    </row>
    <row r="164" spans="1:2" x14ac:dyDescent="0.3">
      <c r="A164" s="4" t="s">
        <v>114</v>
      </c>
      <c r="B164" s="5">
        <v>0.15125231289652516</v>
      </c>
    </row>
    <row r="165" spans="1:2" x14ac:dyDescent="0.3">
      <c r="A165" s="4" t="s">
        <v>103</v>
      </c>
      <c r="B165" s="5">
        <v>0.13066591551606674</v>
      </c>
    </row>
    <row r="166" spans="1:2" x14ac:dyDescent="0.3">
      <c r="A166" s="4" t="s">
        <v>135</v>
      </c>
      <c r="B166" s="5">
        <v>0.12138151464519351</v>
      </c>
    </row>
    <row r="167" spans="1:2" x14ac:dyDescent="0.3">
      <c r="A167" s="4" t="s">
        <v>120</v>
      </c>
      <c r="B167" s="5">
        <v>0.12913015863249572</v>
      </c>
    </row>
    <row r="168" spans="1:2" x14ac:dyDescent="0.3">
      <c r="A168" s="4" t="s">
        <v>2445</v>
      </c>
      <c r="B168" s="5">
        <v>1</v>
      </c>
    </row>
    <row r="172" spans="1:2" x14ac:dyDescent="0.3">
      <c r="A172" s="3" t="s">
        <v>2444</v>
      </c>
      <c r="B172" t="s">
        <v>2460</v>
      </c>
    </row>
    <row r="173" spans="1:2" x14ac:dyDescent="0.3">
      <c r="A173" s="4" t="s">
        <v>34</v>
      </c>
      <c r="B173" s="1">
        <v>1566014</v>
      </c>
    </row>
    <row r="174" spans="1:2" x14ac:dyDescent="0.3">
      <c r="A174" s="4" t="s">
        <v>177</v>
      </c>
      <c r="B174" s="1">
        <v>1518255</v>
      </c>
    </row>
    <row r="175" spans="1:2" x14ac:dyDescent="0.3">
      <c r="A175" s="4" t="s">
        <v>110</v>
      </c>
      <c r="B175" s="1">
        <v>1526800</v>
      </c>
    </row>
    <row r="176" spans="1:2" x14ac:dyDescent="0.3">
      <c r="A176" s="4" t="s">
        <v>116</v>
      </c>
      <c r="B176" s="1">
        <v>1743844</v>
      </c>
    </row>
    <row r="177" spans="1:2" x14ac:dyDescent="0.3">
      <c r="A177" s="4" t="s">
        <v>136</v>
      </c>
      <c r="B177" s="1">
        <v>1262158</v>
      </c>
    </row>
    <row r="178" spans="1:2" x14ac:dyDescent="0.3">
      <c r="A178" s="4" t="s">
        <v>14</v>
      </c>
      <c r="B178" s="1">
        <v>1538725</v>
      </c>
    </row>
    <row r="179" spans="1:2" x14ac:dyDescent="0.3">
      <c r="A179" s="4" t="s">
        <v>93</v>
      </c>
      <c r="B179" s="1">
        <v>1672825</v>
      </c>
    </row>
    <row r="180" spans="1:2" x14ac:dyDescent="0.3">
      <c r="A180" s="4" t="s">
        <v>25</v>
      </c>
      <c r="B180" s="1">
        <v>1615332</v>
      </c>
    </row>
    <row r="181" spans="1:2" x14ac:dyDescent="0.3">
      <c r="A181" s="4" t="s">
        <v>35</v>
      </c>
      <c r="B181" s="1">
        <v>1721610</v>
      </c>
    </row>
    <row r="182" spans="1:2" x14ac:dyDescent="0.3">
      <c r="A182" s="4" t="s">
        <v>19</v>
      </c>
      <c r="B182" s="1">
        <v>1437167</v>
      </c>
    </row>
    <row r="183" spans="1:2" x14ac:dyDescent="0.3">
      <c r="A183" s="4" t="s">
        <v>2445</v>
      </c>
      <c r="B183" s="1">
        <v>15602730</v>
      </c>
    </row>
    <row r="185" spans="1:2" x14ac:dyDescent="0.3">
      <c r="A185" t="s">
        <v>2460</v>
      </c>
    </row>
    <row r="186" spans="1:2" x14ac:dyDescent="0.3">
      <c r="A186" s="1">
        <v>15602730</v>
      </c>
      <c r="B186">
        <f>GETPIVOTDATA("Total_Fees",$A$185)</f>
        <v>15602730</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9FBF-99A6-4B5B-8F6A-A9963287A13B}">
  <dimension ref="A1"/>
  <sheetViews>
    <sheetView tabSelected="1" zoomScale="53" zoomScaleNormal="53" workbookViewId="0">
      <selection activeCell="AP24" sqref="AP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C516-9BCD-4E4C-B951-7A83DBFD2696}">
  <dimension ref="A1"/>
  <sheetViews>
    <sheetView zoomScale="5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4603-4329-4320-880C-B9A64B383BAE}">
  <dimension ref="A1"/>
  <sheetViews>
    <sheetView zoomScale="53" zoomScaleNormal="5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CFBB51-0F5E-4184-8FA0-CF15553D08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Hospital_Data_2025</vt:lpstr>
      <vt:lpstr>Table</vt:lpstr>
      <vt:lpstr>Home</vt:lpstr>
      <vt:lpstr>DR</vt:lpstr>
      <vt:lpstr>Profits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dcterms:created xsi:type="dcterms:W3CDTF">2026-05-23T03:39:26Z</dcterms:created>
  <dcterms:modified xsi:type="dcterms:W3CDTF">2026-05-23T13:01:14Z</dcterms:modified>
</cp:coreProperties>
</file>